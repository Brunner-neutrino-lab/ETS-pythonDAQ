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2"/>
    <sheet name="Connections" sheetId="2" state="visible" r:id="rId3"/>
    <sheet name="Initial char" sheetId="3" state="visible" r:id="rId4"/>
    <sheet name="Coarse char" sheetId="4" state="visible" r:id="rId5"/>
    <sheet name="Shift log" sheetId="5" state="visible" r:id="rId6"/>
  </sheets>
  <definedNames>
    <definedName function="false" hidden="false" localSheetId="3" name="_xlnm.Print_Titles" vbProcedure="false">'Coarse char'!$6:$6</definedName>
    <definedName function="false" hidden="false" localSheetId="1" name="_xlnm.Print_Titles" vbProcedure="false">Connections!$4:$4</definedName>
    <definedName function="false" hidden="false" localSheetId="2" name="_xlnm.Print_Titles" vbProcedure="false">'Initial char'!$6:$6</definedName>
    <definedName function="false" hidden="false" localSheetId="4" name="_xlnm.Print_Titles" vbProcedure="false">'Shift log'!$4:$4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E4" authorId="0">
      <text>
        <r>
          <rPr>
            <sz val="11"/>
            <color rgb="FF000000"/>
            <rFont val="Calibri"/>
            <family val="2"/>
            <charset val="1"/>
          </rPr>
          <t xml:space="preserve">Pre-filled as MUX ch, the cabling of the 2026-09-30 / 10-01 runs. Overwrite if the digitizer channel differs.</t>
        </r>
      </text>
    </comment>
  </commentList>
</comments>
</file>

<file path=xl/comments3.xml><?xml version="1.0" encoding="utf-8"?>
<comments xmlns="http://schemas.openxmlformats.org/spreadsheetml/2006/main" xmlns:xdr="http://schemas.openxmlformats.org/drawingml/2006/spreadsheetDrawing">
  <authors>
    <author> </author>
  </authors>
  <commentList>
    <comment ref="G6" authorId="0">
      <text>
        <r>
          <rPr>
            <sz val="11"/>
            <color rgb="FF000000"/>
            <rFont val="Calibri"/>
            <family val="2"/>
            <charset val="1"/>
          </rPr>
          <t xml:space="preserve">Median pulse amplitude at V1, from the lab book entry or the channel-table CSV export (column median1_adc).</t>
        </r>
      </text>
    </comment>
    <comment ref="H2" authorId="0">
      <text>
        <r>
          <rPr>
            <sz val="11"/>
            <color rgb="FF000000"/>
            <rFont val="Calibri"/>
            <family val="2"/>
            <charset val="1"/>
          </rPr>
          <t xml:space="preserve">From the plan: 3 V and 4 V overvoltage.</t>
        </r>
      </text>
    </comment>
    <comment ref="O6" authorId="0">
      <text>
        <r>
          <rPr>
            <sz val="11"/>
            <color rgb="FF000000"/>
            <rFont val="Calibri"/>
            <family val="2"/>
            <charset val="1"/>
          </rPr>
          <t xml:space="preserve">Red: more than 3 standard deviations from the tile mean (P3, Q3). Re-check this channel.</t>
        </r>
      </text>
    </comment>
    <comment ref="Q6" authorId="0">
      <text>
        <r>
          <rPr>
            <sz val="11"/>
            <color rgb="FF000000"/>
            <rFont val="Calibri"/>
            <family val="2"/>
            <charset val="1"/>
          </rPr>
          <t xml:space="preserve">Trigger threshold as a fraction of the SPE amplitude at V1. Aim for 0.5; outside 0.3-0.7 (orange) the median is biased: re-run with about 0.5 x A1.</t>
        </r>
      </text>
    </comment>
  </commentList>
</comments>
</file>

<file path=xl/comments4.xml><?xml version="1.0" encoding="utf-8"?>
<comments xmlns="http://schemas.openxmlformats.org/spreadsheetml/2006/main" xmlns:xdr="http://schemas.openxmlformats.org/drawingml/2006/spreadsheetDrawing">
  <authors>
    <author> </author>
  </authors>
  <commentList>
    <comment ref="E6" authorId="0">
      <text>
        <r>
          <rPr>
            <sz val="11"/>
            <color rgb="FF000000"/>
            <rFont val="Calibri"/>
            <family val="2"/>
            <charset val="1"/>
          </rPr>
          <t xml:space="preserve">From 'Initial char'. The web app uses the channel table, which may hold hand corrections: if you edit one there, note it here too.</t>
        </r>
      </text>
    </comment>
    <comment ref="G5" authorId="0">
      <text>
        <r>
          <rPr>
            <sz val="11"/>
            <color rgb="FF000000"/>
            <rFont val="Calibri"/>
            <family val="2"/>
            <charset val="1"/>
          </rPr>
          <t xml:space="preserve">From the plan: 2 V to 6 V overvoltage in 1 V steps.</t>
        </r>
      </text>
    </comment>
  </commentList>
</comments>
</file>

<file path=xl/sharedStrings.xml><?xml version="1.0" encoding="utf-8"?>
<sst xmlns="http://schemas.openxmlformats.org/spreadsheetml/2006/main" count="269" uniqueCount="143">
  <si>
    <t xml:space="preserve">nEXO SiPM tile characterization: data-taking workbook</t>
  </si>
  <si>
    <t xml:space="preserve">One workbook per tile. It is the written, checked record of the cabling and of the initial and coarse characterization at each temperature. The DAQ web app takes the data and posts automatic lab book entries; this workbook is where a person confirms what was done and what was found.</t>
  </si>
  <si>
    <t xml:space="preserve">How to fill it in</t>
  </si>
  <si>
    <t xml:space="preserve">Example</t>
  </si>
  <si>
    <t xml:space="preserve">Light yellow: type here.</t>
  </si>
  <si>
    <t xml:space="preserve">Blue text on yellow: pre-filled from the bench as it is cabled today (MUX channels 1-16 and 23-30, digitizer channel = MUX channel). Overwrite if yours differs.</t>
  </si>
  <si>
    <t xml:space="preserve">Grey: calculated. Do not type over these cells.</t>
  </si>
  <si>
    <t xml:space="preserve">Green text: copied from another sheet of this workbook.</t>
  </si>
  <si>
    <t xml:space="preserve">Grey italic row under each header: an example of the format. It is not data and is left out of every calculation.</t>
  </si>
  <si>
    <t xml:space="preserve">For each temperature</t>
  </si>
  <si>
    <t xml:space="preserve">Make a copy of 'Initial char' and 'Coarse char' for every temperature (right-click the tab, Move or Copy, Create a copy) and name them e.g. 'Initial 165K'. Set the temperature at the top of each copy. 'Coarse char' reads V_BD and A0 from the sheet named in its formulas; after copying, point it at the matching Initial copy (Find &amp; Replace 'Initial char'!).</t>
  </si>
  <si>
    <t xml:space="preserve">Procedure step</t>
  </si>
  <si>
    <t xml:space="preserve">Where in the DAQ web app / which sheet</t>
  </si>
  <si>
    <t xml:space="preserve">INITIAL CHARACTERIZATION</t>
  </si>
  <si>
    <t xml:space="preserve">1. Connect each MUX channel to a feedthrough channel (one quad = 24 SiPMs on MUX channels 1-16 and 23-30).</t>
  </si>
  <si>
    <t xml:space="preserve">Sheet 'Connections': one row per MUX channel and quad.</t>
  </si>
  <si>
    <t xml:space="preserve">2. Note the connection in the spreadsheet; a second person checks it.</t>
  </si>
  <si>
    <t xml:space="preserve">'Connections': feedthrough, tile SiPM #, connected by, verified by.</t>
  </si>
  <si>
    <t xml:space="preserve">3. Using an estimate of V_BD at this temperature, set the bias to 3 V overvoltage.</t>
  </si>
  <si>
    <t xml:space="preserve">Digitizer tab &gt; characterization: create a channel table (new: tile, quad, temperature), enter the V_BD estimate, overvoltages '3, 4'.</t>
  </si>
  <si>
    <t xml:space="preserve">4. Set the MUX to the first channel.</t>
  </si>
  <si>
    <t xml:space="preserve">Automatic with 'switch IV MUX' on; the MUX channels field lists the channels to run.</t>
  </si>
  <si>
    <t xml:space="preserve">5. Set the trigger threshold on the first channel (estimate).</t>
  </si>
  <si>
    <t xml:space="preserve">'Trigger threshold' field (ADC counts above baseline).</t>
  </si>
  <si>
    <t xml:space="preserve">6. Acquire 100 waveforms.</t>
  </si>
  <si>
    <t xml:space="preserve">'Waveforms / point' = 100, then run.</t>
  </si>
  <si>
    <t xml:space="preserve">7. Check the waveforms! Are you triggering at 0.5 SPE? Note the 0.5 SPE threshold for that bias voltage.</t>
  </si>
  <si>
    <t xml:space="preserve">'Latest run' plots: sample waveforms, amplitude spectrum, median vs bias. The 'check' column flags a threshold outside 0.3-0.7 SPE and suggests a value. Every acquisition is also in the waveforms sub-tab for a one-by-one look. Sheet 'Initial char': median A1 and 'checked?'.</t>
  </si>
  <si>
    <t xml:space="preserve">8. Set the bias to 4 V overvoltage, keeping the previous trigger threshold.</t>
  </si>
  <si>
    <t xml:space="preserve">Automatic (second overvoltage).</t>
  </si>
  <si>
    <t xml:space="preserve">9. Acquire waveforms and check them. Note the 0.5 SPE threshold.</t>
  </si>
  <si>
    <t xml:space="preserve">The plan says 10 waveforms; the app takes the same number at both points (100 recommended: the median error goes as 1/sqrt(N)). 'Initial char': median A2.</t>
  </si>
  <si>
    <t xml:space="preserve">10. Using A = A0 (V - V_BD), work out the SPE amplitude and V_BD.</t>
  </si>
  <si>
    <t xml:space="preserve">Automatic: written to the channel table and to one lab book entry with a plot per channel and an HDF5 file. 'Initial char' recomputes A0 and V_BD from the medians you copy in, as a check.</t>
  </si>
  <si>
    <t xml:space="preserve">11. Set the MUX to the next channel; repeat until the whole 96-SiPM tile is done.</t>
  </si>
  <si>
    <t xml:space="preserve">One run covers all listed channels. Re-cable for the next quad and create a new channel table for it.</t>
  </si>
  <si>
    <t xml:space="preserve">COARSE CHARACTERIZATION</t>
  </si>
  <si>
    <t xml:space="preserve">12. Connect each MUX channel to each feedthrough channel (as for the initial characterization).</t>
  </si>
  <si>
    <t xml:space="preserve">'Connections'.</t>
  </si>
  <si>
    <t xml:space="preserve">13. From A = A0 (V - V_BD) you know the SPE amplitude and V_BD of every channel.</t>
  </si>
  <si>
    <t xml:space="preserve">Channel table on the characterization sub-tab (hand edits allowed). 'Coarse char' lists the bias points and 0.5 SPE thresholds.</t>
  </si>
  <si>
    <t xml:space="preserve">14. Coarse sweep for one quad: 2 V to 6 V overvoltage in 1 V steps, 1000 waveforms at each step.</t>
  </si>
  <si>
    <t xml:space="preserve">L3 tab &gt; 'coarse sweep from a characterization table': pick the table, append to list, run. The trigger follows 0.5 SPE at every bias point.</t>
  </si>
  <si>
    <t xml:space="preserve">15. Connect the MUX to the next quad; repeat until the whole tile is done.</t>
  </si>
  <si>
    <t xml:space="preserve">One channel table and one L3 run per quad. Log each in 'Shift log'.</t>
  </si>
  <si>
    <t xml:space="preserve">Names and files</t>
  </si>
  <si>
    <t xml:space="preserve">Channel table name: &lt;tile&gt;_&lt;quad&gt;_&lt;T&gt;K, e.g. tile1_Q1_165K (the app suggests it).</t>
  </si>
  <si>
    <t xml:space="preserve">Initial characterization data: data/characterization/&lt;table&gt;/initial_&lt;date&gt;_&lt;time&gt;.h5 (waveforms and amplitudes for every point). The table itself is data/characterization/&lt;table&gt;.json and can be exported as CSV for this workbook.</t>
  </si>
  <si>
    <t xml:space="preserve">Coarse sweep: L3 run id &lt;table&gt;_coarse (filled in by the app), data/&lt;run id&gt;_&lt;date&gt;.h5.</t>
  </si>
  <si>
    <t xml:space="preserve">V_BD of SiPMs on one tile usually scatter by about 0.2 V. 'Initial char' marks a V_BD more than 3 standard deviations from the tile mean in red: re-check that channel's cabling and waveforms before the coarse sweep.</t>
  </si>
  <si>
    <t xml:space="preserve">Connections: MUX channel to feedthrough, per quad</t>
  </si>
  <si>
    <t xml:space="preserve">Tile:</t>
  </si>
  <si>
    <t xml:space="preserve">Rows line up with 'Initial char' and 'Coarse char' (same order): do not sort or delete rows.</t>
  </si>
  <si>
    <t xml:space="preserve">Quad</t>
  </si>
  <si>
    <t xml:space="preserve">Tile SiPM #</t>
  </si>
  <si>
    <t xml:space="preserve">Feedthrough ch</t>
  </si>
  <si>
    <t xml:space="preserve">MUX ch</t>
  </si>
  <si>
    <t xml:space="preserve">Digitizer ch</t>
  </si>
  <si>
    <t xml:space="preserve">Signal seen? (Y/N)</t>
  </si>
  <si>
    <t xml:space="preserve">Connected by</t>
  </si>
  <si>
    <t xml:space="preserve">Date</t>
  </si>
  <si>
    <t xml:space="preserve">Verified by</t>
  </si>
  <si>
    <t xml:space="preserve">Notes</t>
  </si>
  <si>
    <t xml:space="preserve">Q1</t>
  </si>
  <si>
    <t xml:space="preserve">J1-07</t>
  </si>
  <si>
    <t xml:space="preserve">Y</t>
  </si>
  <si>
    <t xml:space="preserve">LC</t>
  </si>
  <si>
    <t xml:space="preserve">2026-10-03</t>
  </si>
  <si>
    <t xml:space="preserve">RS</t>
  </si>
  <si>
    <t xml:space="preserve">Example row: format only</t>
  </si>
  <si>
    <t xml:space="preserve">Q2</t>
  </si>
  <si>
    <t xml:space="preserve">Q3</t>
  </si>
  <si>
    <t xml:space="preserve">Q4</t>
  </si>
  <si>
    <t xml:space="preserve">Initial characterization: 2 bias points per SiPM, A = A0 (V - V_BD)</t>
  </si>
  <si>
    <t xml:space="preserve">Temperature (K)</t>
  </si>
  <si>
    <t xml:space="preserve">OV1 (V)</t>
  </si>
  <si>
    <t xml:space="preserve">V1 (V)</t>
  </si>
  <si>
    <t xml:space="preserve">Channels fitted</t>
  </si>
  <si>
    <t xml:space="preserve">V_BD estimate (V)</t>
  </si>
  <si>
    <t xml:space="preserve">OV2 (V)</t>
  </si>
  <si>
    <t xml:space="preserve">V2 (V)</t>
  </si>
  <si>
    <t xml:space="preserve">V_BD mean / sd (V)</t>
  </si>
  <si>
    <t xml:space="preserve">A0 mean / sd (ADC/V)</t>
  </si>
  <si>
    <t xml:space="preserve">Trigger threshold (ADC)</t>
  </si>
  <si>
    <t xml:space="preserve">N wfs @V1</t>
  </si>
  <si>
    <t xml:space="preserve">Median A1 @V1 (ADC)</t>
  </si>
  <si>
    <t xml:space="preserve">0.5 SPE @V1 (ADC)</t>
  </si>
  <si>
    <t xml:space="preserve">Checked @V1? (Y/N)</t>
  </si>
  <si>
    <t xml:space="preserve">N wfs @V2</t>
  </si>
  <si>
    <t xml:space="preserve">Median A2 @V2 (ADC)</t>
  </si>
  <si>
    <t xml:space="preserve">0.5 SPE @V2 (ADC)</t>
  </si>
  <si>
    <t xml:space="preserve">Checked @V2? (Y/N)</t>
  </si>
  <si>
    <t xml:space="preserve">A0 (ADC/V)</t>
  </si>
  <si>
    <t xml:space="preserve">V_BD (V)</t>
  </si>
  <si>
    <t xml:space="preserve">SPE @OV+3 (ADC)</t>
  </si>
  <si>
    <t xml:space="preserve">Threshold / SPE @V1</t>
  </si>
  <si>
    <t xml:space="preserve">V_BD - tile mean (V)</t>
  </si>
  <si>
    <t xml:space="preserve">HDF5 file</t>
  </si>
  <si>
    <t xml:space="preserve">Lab book entry</t>
  </si>
  <si>
    <t xml:space="preserve">Operator</t>
  </si>
  <si>
    <t xml:space="preserve">data/characterization/tile1_Q1_165K/initial_20261003_101500.h5</t>
  </si>
  <si>
    <t xml:space="preserve">Initial characterization · tile1_Q1_165K</t>
  </si>
  <si>
    <t xml:space="preserve">Example row (V1 48.0 V, V2 49.0 V): format only</t>
  </si>
  <si>
    <t xml:space="preserve">Coarse characterization: OV +2 to +6 V, 1000 waveforms per step</t>
  </si>
  <si>
    <t xml:space="preserve">Overvoltages (V):</t>
  </si>
  <si>
    <t xml:space="preserve">Waveforms / step</t>
  </si>
  <si>
    <t xml:space="preserve">Threshold (x SPE)</t>
  </si>
  <si>
    <t xml:space="preserve">OV (V) for each step:</t>
  </si>
  <si>
    <t xml:space="preserve">Bias @OV1 (V)</t>
  </si>
  <si>
    <t xml:space="preserve">Bias @OV2 (V)</t>
  </si>
  <si>
    <t xml:space="preserve">Bias @OV3 (V)</t>
  </si>
  <si>
    <t xml:space="preserve">Bias @OV4 (V)</t>
  </si>
  <si>
    <t xml:space="preserve">Bias @OV5 (V)</t>
  </si>
  <si>
    <t xml:space="preserve">Thr @OV1 (ADC)</t>
  </si>
  <si>
    <t xml:space="preserve">Thr @OV2 (ADC)</t>
  </si>
  <si>
    <t xml:space="preserve">Thr @OV3 (ADC)</t>
  </si>
  <si>
    <t xml:space="preserve">Thr @OV4 (ADC)</t>
  </si>
  <si>
    <t xml:space="preserve">Thr @OV5 (ADC)</t>
  </si>
  <si>
    <t xml:space="preserve">L3 run id / HDF5</t>
  </si>
  <si>
    <t xml:space="preserve">Done? (Y/N)</t>
  </si>
  <si>
    <t xml:space="preserve">Checked by</t>
  </si>
  <si>
    <t xml:space="preserve">tile1_Q1_165K_coarse</t>
  </si>
  <si>
    <t xml:space="preserve">Shift log: one row per lab visit or task</t>
  </si>
  <si>
    <t xml:space="preserve">While the ventilation is off, text the group when you enter and when you leave the lab. Check the O2 monitor by the cryostat before handling LN2.</t>
  </si>
  <si>
    <t xml:space="preserve">Time in</t>
  </si>
  <si>
    <t xml:space="preserve">Time out</t>
  </si>
  <si>
    <t xml:space="preserve">Operator(s)</t>
  </si>
  <si>
    <t xml:space="preserve">Quad / cabling</t>
  </si>
  <si>
    <t xml:space="preserve">Activity</t>
  </si>
  <si>
    <t xml:space="preserve">What was done</t>
  </si>
  <si>
    <t xml:space="preserve">Files (HDF5, YAML, channel table)</t>
  </si>
  <si>
    <t xml:space="preserve">Issues / anomalies</t>
  </si>
  <si>
    <t xml:space="preserve">Next step</t>
  </si>
  <si>
    <t xml:space="preserve">Group texted in/out? (Y/N)</t>
  </si>
  <si>
    <t xml:space="preserve">09:30</t>
  </si>
  <si>
    <t xml:space="preserve">12:10</t>
  </si>
  <si>
    <t xml:space="preserve">Lei</t>
  </si>
  <si>
    <t xml:space="preserve">initial char</t>
  </si>
  <si>
    <t xml:space="preserve">Initial characterization of Q1, MUX 1-16, 23-30 at OV +3/+4 V, 100 wfs, thr 420 ADC.</t>
  </si>
  <si>
    <t xml:space="preserve">tile1_Q1_165K; data/characterization/tile1_Q1_165K/initial_20261003_101500.h5</t>
  </si>
  <si>
    <t xml:space="preserve">Initial characterization · tile1_Q1_165K · 165 K</t>
  </si>
  <si>
    <t xml:space="preserve">MUX 9: no pulses, reseated cable</t>
  </si>
  <si>
    <t xml:space="preserve">Coarse sweep Q1</t>
  </si>
</sst>
</file>

<file path=xl/styles.xml><?xml version="1.0" encoding="utf-8"?>
<styleSheet xmlns="http://schemas.openxmlformats.org/spreadsheetml/2006/main">
  <numFmts count="7">
    <numFmt numFmtId="164" formatCode="General"/>
    <numFmt numFmtId="165" formatCode="yyyy\-mm\-dd"/>
    <numFmt numFmtId="166" formatCode="0.00"/>
    <numFmt numFmtId="167" formatCode="0.000"/>
    <numFmt numFmtId="168" formatCode="0.0"/>
    <numFmt numFmtId="169" formatCode="0"/>
    <numFmt numFmtId="170" formatCode="General"/>
  </numFmts>
  <fonts count="13">
    <font>
      <sz val="11"/>
      <color rgb="FF000000"/>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sz val="10"/>
      <color rgb="FF0000FF"/>
      <name val="Arial"/>
      <family val="0"/>
      <charset val="1"/>
    </font>
    <font>
      <sz val="10"/>
      <color rgb="FF008000"/>
      <name val="Arial"/>
      <family val="0"/>
      <charset val="1"/>
    </font>
    <font>
      <i val="true"/>
      <sz val="10"/>
      <color rgb="FF808080"/>
      <name val="Arial"/>
      <family val="0"/>
      <charset val="1"/>
    </font>
    <font>
      <b val="true"/>
      <sz val="10"/>
      <color rgb="FFFFFFFF"/>
      <name val="Arial"/>
      <family val="0"/>
      <charset val="1"/>
    </font>
    <font>
      <b val="true"/>
      <sz val="10"/>
      <name val="Arial"/>
      <family val="0"/>
      <charset val="1"/>
    </font>
    <font>
      <i val="true"/>
      <sz val="9"/>
      <color rgb="FF595959"/>
      <name val="Arial"/>
      <family val="0"/>
      <charset val="1"/>
    </font>
  </fonts>
  <fills count="7">
    <fill>
      <patternFill patternType="none"/>
    </fill>
    <fill>
      <patternFill patternType="gray125"/>
    </fill>
    <fill>
      <patternFill patternType="solid">
        <fgColor rgb="FFFFF2CC"/>
        <bgColor rgb="FFEDEDED"/>
      </patternFill>
    </fill>
    <fill>
      <patternFill patternType="solid">
        <fgColor rgb="FFEDEDED"/>
        <bgColor rgb="FFD9E1F2"/>
      </patternFill>
    </fill>
    <fill>
      <patternFill patternType="solid">
        <fgColor rgb="FFFFFFFF"/>
        <bgColor rgb="FFEDEDED"/>
      </patternFill>
    </fill>
    <fill>
      <patternFill patternType="solid">
        <fgColor rgb="FF1F3864"/>
        <bgColor rgb="FF333333"/>
      </patternFill>
    </fill>
    <fill>
      <patternFill patternType="solid">
        <fgColor rgb="FFD9E1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9" fontId="5"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5" fillId="2"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C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70"/>
  </cols>
  <sheetData>
    <row r="1" customFormat="false" ht="15" hidden="false" customHeight="false" outlineLevel="0" collapsed="false">
      <c r="B1" s="1" t="s">
        <v>0</v>
      </c>
    </row>
    <row r="2" customFormat="false" ht="45" hidden="false" customHeight="true" outlineLevel="0" collapsed="false">
      <c r="B2" s="2" t="s">
        <v>1</v>
      </c>
      <c r="C2" s="2"/>
    </row>
    <row r="4" customFormat="false" ht="15" hidden="false" customHeight="false" outlineLevel="0" collapsed="false">
      <c r="B4" s="3" t="s">
        <v>2</v>
      </c>
    </row>
    <row r="5" customFormat="false" ht="16" hidden="false" customHeight="true" outlineLevel="0" collapsed="false">
      <c r="B5" s="4" t="s">
        <v>3</v>
      </c>
      <c r="C5" s="5" t="s">
        <v>4</v>
      </c>
    </row>
    <row r="6" customFormat="false" ht="30" hidden="false" customHeight="true" outlineLevel="0" collapsed="false">
      <c r="B6" s="6" t="s">
        <v>3</v>
      </c>
      <c r="C6" s="5" t="s">
        <v>5</v>
      </c>
    </row>
    <row r="7" customFormat="false" ht="16" hidden="false" customHeight="true" outlineLevel="0" collapsed="false">
      <c r="B7" s="7" t="s">
        <v>3</v>
      </c>
      <c r="C7" s="5" t="s">
        <v>6</v>
      </c>
    </row>
    <row r="8" customFormat="false" ht="16" hidden="false" customHeight="true" outlineLevel="0" collapsed="false">
      <c r="B8" s="8" t="s">
        <v>3</v>
      </c>
      <c r="C8" s="5" t="s">
        <v>7</v>
      </c>
    </row>
    <row r="9" customFormat="false" ht="30" hidden="false" customHeight="true" outlineLevel="0" collapsed="false">
      <c r="B9" s="9" t="s">
        <v>3</v>
      </c>
      <c r="C9" s="5" t="s">
        <v>8</v>
      </c>
    </row>
    <row r="11" customFormat="false" ht="15" hidden="false" customHeight="false" outlineLevel="0" collapsed="false">
      <c r="B11" s="3" t="s">
        <v>9</v>
      </c>
    </row>
    <row r="12" customFormat="false" ht="58" hidden="false" customHeight="true" outlineLevel="0" collapsed="false">
      <c r="B12" s="2" t="s">
        <v>10</v>
      </c>
      <c r="C12" s="2"/>
    </row>
    <row r="14" customFormat="false" ht="15" hidden="false" customHeight="false" outlineLevel="0" collapsed="false">
      <c r="B14" s="10" t="s">
        <v>11</v>
      </c>
      <c r="C14" s="10" t="s">
        <v>12</v>
      </c>
    </row>
    <row r="15" customFormat="false" ht="15" hidden="false" customHeight="false" outlineLevel="0" collapsed="false">
      <c r="B15" s="11" t="s">
        <v>13</v>
      </c>
      <c r="C15" s="12"/>
    </row>
    <row r="16" customFormat="false" ht="28" hidden="false" customHeight="true" outlineLevel="0" collapsed="false">
      <c r="B16" s="13" t="s">
        <v>14</v>
      </c>
      <c r="C16" s="13" t="s">
        <v>15</v>
      </c>
    </row>
    <row r="17" customFormat="false" ht="28" hidden="false" customHeight="true" outlineLevel="0" collapsed="false">
      <c r="B17" s="13" t="s">
        <v>16</v>
      </c>
      <c r="C17" s="13" t="s">
        <v>17</v>
      </c>
    </row>
    <row r="18" customFormat="false" ht="28" hidden="false" customHeight="true" outlineLevel="0" collapsed="false">
      <c r="B18" s="13" t="s">
        <v>18</v>
      </c>
      <c r="C18" s="13" t="s">
        <v>19</v>
      </c>
    </row>
    <row r="19" customFormat="false" ht="28" hidden="false" customHeight="true" outlineLevel="0" collapsed="false">
      <c r="B19" s="13" t="s">
        <v>20</v>
      </c>
      <c r="C19" s="13" t="s">
        <v>21</v>
      </c>
    </row>
    <row r="20" customFormat="false" ht="28" hidden="false" customHeight="true" outlineLevel="0" collapsed="false">
      <c r="B20" s="13" t="s">
        <v>22</v>
      </c>
      <c r="C20" s="13" t="s">
        <v>23</v>
      </c>
    </row>
    <row r="21" customFormat="false" ht="16" hidden="false" customHeight="true" outlineLevel="0" collapsed="false">
      <c r="B21" s="13" t="s">
        <v>24</v>
      </c>
      <c r="C21" s="13" t="s">
        <v>25</v>
      </c>
    </row>
    <row r="22" customFormat="false" ht="70" hidden="false" customHeight="true" outlineLevel="0" collapsed="false">
      <c r="B22" s="13" t="s">
        <v>26</v>
      </c>
      <c r="C22" s="13" t="s">
        <v>27</v>
      </c>
    </row>
    <row r="23" customFormat="false" ht="28" hidden="false" customHeight="true" outlineLevel="0" collapsed="false">
      <c r="B23" s="13" t="s">
        <v>28</v>
      </c>
      <c r="C23" s="13" t="s">
        <v>29</v>
      </c>
    </row>
    <row r="24" customFormat="false" ht="42" hidden="false" customHeight="true" outlineLevel="0" collapsed="false">
      <c r="B24" s="13" t="s">
        <v>30</v>
      </c>
      <c r="C24" s="13" t="s">
        <v>31</v>
      </c>
    </row>
    <row r="25" customFormat="false" ht="42" hidden="false" customHeight="true" outlineLevel="0" collapsed="false">
      <c r="B25" s="13" t="s">
        <v>32</v>
      </c>
      <c r="C25" s="13" t="s">
        <v>33</v>
      </c>
    </row>
    <row r="26" customFormat="false" ht="28" hidden="false" customHeight="true" outlineLevel="0" collapsed="false">
      <c r="B26" s="13" t="s">
        <v>34</v>
      </c>
      <c r="C26" s="13" t="s">
        <v>35</v>
      </c>
    </row>
    <row r="27" customFormat="false" ht="15" hidden="false" customHeight="false" outlineLevel="0" collapsed="false">
      <c r="B27" s="11" t="s">
        <v>36</v>
      </c>
      <c r="C27" s="12"/>
    </row>
    <row r="28" customFormat="false" ht="28" hidden="false" customHeight="true" outlineLevel="0" collapsed="false">
      <c r="B28" s="13" t="s">
        <v>37</v>
      </c>
      <c r="C28" s="13" t="s">
        <v>38</v>
      </c>
    </row>
    <row r="29" customFormat="false" ht="28" hidden="false" customHeight="true" outlineLevel="0" collapsed="false">
      <c r="B29" s="13" t="s">
        <v>39</v>
      </c>
      <c r="C29" s="13" t="s">
        <v>40</v>
      </c>
    </row>
    <row r="30" customFormat="false" ht="42" hidden="false" customHeight="true" outlineLevel="0" collapsed="false">
      <c r="B30" s="13" t="s">
        <v>41</v>
      </c>
      <c r="C30" s="13" t="s">
        <v>42</v>
      </c>
    </row>
    <row r="31" customFormat="false" ht="28" hidden="false" customHeight="true" outlineLevel="0" collapsed="false">
      <c r="B31" s="13" t="s">
        <v>43</v>
      </c>
      <c r="C31" s="13" t="s">
        <v>44</v>
      </c>
    </row>
    <row r="33" customFormat="false" ht="15" hidden="false" customHeight="false" outlineLevel="0" collapsed="false">
      <c r="B33" s="3" t="s">
        <v>45</v>
      </c>
    </row>
    <row r="34" customFormat="false" ht="30" hidden="false" customHeight="true" outlineLevel="0" collapsed="false">
      <c r="B34" s="2" t="s">
        <v>46</v>
      </c>
      <c r="C34" s="2"/>
    </row>
    <row r="35" customFormat="false" ht="30" hidden="false" customHeight="true" outlineLevel="0" collapsed="false">
      <c r="B35" s="2" t="s">
        <v>47</v>
      </c>
      <c r="C35" s="2"/>
    </row>
    <row r="36" customFormat="false" ht="30" hidden="false" customHeight="true" outlineLevel="0" collapsed="false">
      <c r="B36" s="2" t="s">
        <v>48</v>
      </c>
      <c r="C36" s="2"/>
    </row>
    <row r="37" customFormat="false" ht="30" hidden="false" customHeight="true" outlineLevel="0" collapsed="false">
      <c r="B37" s="2" t="s">
        <v>49</v>
      </c>
      <c r="C37" s="2"/>
    </row>
  </sheetData>
  <mergeCells count="6">
    <mergeCell ref="B2:C2"/>
    <mergeCell ref="B12:C12"/>
    <mergeCell ref="B34:C34"/>
    <mergeCell ref="B35:C35"/>
    <mergeCell ref="B36:C36"/>
    <mergeCell ref="B37:C37"/>
  </mergeCells>
  <printOptions headings="false" gridLines="false" gridLinesSet="true" horizontalCentered="false" verticalCentered="false"/>
  <pageMargins left="0.75" right="0.75" top="1" bottom="1"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3"/>
    <col collapsed="false" customWidth="true" hidden="false" outlineLevel="0" max="4" min="4" style="0" width="8"/>
    <col collapsed="false" customWidth="true" hidden="false" outlineLevel="0" max="6" min="5" style="0" width="10"/>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40"/>
  </cols>
  <sheetData>
    <row r="1" customFormat="false" ht="15" hidden="false" customHeight="false" outlineLevel="0" collapsed="false">
      <c r="A1" s="3" t="s">
        <v>50</v>
      </c>
    </row>
    <row r="2" customFormat="false" ht="15" hidden="false" customHeight="false" outlineLevel="0" collapsed="false">
      <c r="A2" s="14" t="s">
        <v>51</v>
      </c>
      <c r="B2" s="4"/>
      <c r="D2" s="15" t="s">
        <v>52</v>
      </c>
    </row>
    <row r="4" customFormat="false" ht="42" hidden="false" customHeight="true" outlineLevel="0" collapsed="false">
      <c r="A4" s="10" t="s">
        <v>53</v>
      </c>
      <c r="B4" s="10" t="s">
        <v>54</v>
      </c>
      <c r="C4" s="10" t="s">
        <v>55</v>
      </c>
      <c r="D4" s="10" t="s">
        <v>56</v>
      </c>
      <c r="E4" s="10" t="s">
        <v>57</v>
      </c>
      <c r="F4" s="10" t="s">
        <v>58</v>
      </c>
      <c r="G4" s="10" t="s">
        <v>59</v>
      </c>
      <c r="H4" s="10" t="s">
        <v>60</v>
      </c>
      <c r="I4" s="10" t="s">
        <v>61</v>
      </c>
      <c r="J4" s="10" t="s">
        <v>62</v>
      </c>
    </row>
    <row r="5" customFormat="false" ht="15" hidden="false" customHeight="false" outlineLevel="0" collapsed="false">
      <c r="A5" s="16" t="s">
        <v>63</v>
      </c>
      <c r="B5" s="16" t="n">
        <v>7</v>
      </c>
      <c r="C5" s="16" t="s">
        <v>64</v>
      </c>
      <c r="D5" s="16" t="n">
        <v>7</v>
      </c>
      <c r="E5" s="16" t="n">
        <v>7</v>
      </c>
      <c r="F5" s="16" t="s">
        <v>65</v>
      </c>
      <c r="G5" s="16" t="s">
        <v>66</v>
      </c>
      <c r="H5" s="16" t="s">
        <v>67</v>
      </c>
      <c r="I5" s="16" t="s">
        <v>68</v>
      </c>
      <c r="J5" s="16" t="s">
        <v>69</v>
      </c>
    </row>
    <row r="6" customFormat="false" ht="15" hidden="false" customHeight="false" outlineLevel="0" collapsed="false">
      <c r="A6" s="6" t="s">
        <v>63</v>
      </c>
      <c r="B6" s="4"/>
      <c r="C6" s="4"/>
      <c r="D6" s="6" t="n">
        <v>1</v>
      </c>
      <c r="E6" s="6" t="n">
        <v>1</v>
      </c>
      <c r="F6" s="4"/>
      <c r="G6" s="4"/>
      <c r="H6" s="17"/>
      <c r="I6" s="4"/>
      <c r="J6" s="4"/>
    </row>
    <row r="7" customFormat="false" ht="15" hidden="false" customHeight="false" outlineLevel="0" collapsed="false">
      <c r="A7" s="6" t="s">
        <v>63</v>
      </c>
      <c r="B7" s="4"/>
      <c r="C7" s="4"/>
      <c r="D7" s="6" t="n">
        <v>2</v>
      </c>
      <c r="E7" s="6" t="n">
        <v>2</v>
      </c>
      <c r="F7" s="4"/>
      <c r="G7" s="4"/>
      <c r="H7" s="17"/>
      <c r="I7" s="4"/>
      <c r="J7" s="4"/>
    </row>
    <row r="8" customFormat="false" ht="15" hidden="false" customHeight="false" outlineLevel="0" collapsed="false">
      <c r="A8" s="6" t="s">
        <v>63</v>
      </c>
      <c r="B8" s="4"/>
      <c r="C8" s="4"/>
      <c r="D8" s="6" t="n">
        <v>3</v>
      </c>
      <c r="E8" s="6" t="n">
        <v>3</v>
      </c>
      <c r="F8" s="4"/>
      <c r="G8" s="4"/>
      <c r="H8" s="17"/>
      <c r="I8" s="4"/>
      <c r="J8" s="4"/>
    </row>
    <row r="9" customFormat="false" ht="15" hidden="false" customHeight="false" outlineLevel="0" collapsed="false">
      <c r="A9" s="6" t="s">
        <v>63</v>
      </c>
      <c r="B9" s="4"/>
      <c r="C9" s="4"/>
      <c r="D9" s="6" t="n">
        <v>4</v>
      </c>
      <c r="E9" s="6" t="n">
        <v>4</v>
      </c>
      <c r="F9" s="4"/>
      <c r="G9" s="4"/>
      <c r="H9" s="17"/>
      <c r="I9" s="4"/>
      <c r="J9" s="4"/>
    </row>
    <row r="10" customFormat="false" ht="15" hidden="false" customHeight="false" outlineLevel="0" collapsed="false">
      <c r="A10" s="6" t="s">
        <v>63</v>
      </c>
      <c r="B10" s="4"/>
      <c r="C10" s="4"/>
      <c r="D10" s="6" t="n">
        <v>5</v>
      </c>
      <c r="E10" s="6" t="n">
        <v>5</v>
      </c>
      <c r="F10" s="4"/>
      <c r="G10" s="4"/>
      <c r="H10" s="17"/>
      <c r="I10" s="4"/>
      <c r="J10" s="4"/>
    </row>
    <row r="11" customFormat="false" ht="15" hidden="false" customHeight="false" outlineLevel="0" collapsed="false">
      <c r="A11" s="6" t="s">
        <v>63</v>
      </c>
      <c r="B11" s="4"/>
      <c r="C11" s="4"/>
      <c r="D11" s="6" t="n">
        <v>6</v>
      </c>
      <c r="E11" s="6" t="n">
        <v>6</v>
      </c>
      <c r="F11" s="4"/>
      <c r="G11" s="4"/>
      <c r="H11" s="17"/>
      <c r="I11" s="4"/>
      <c r="J11" s="4"/>
    </row>
    <row r="12" customFormat="false" ht="15" hidden="false" customHeight="false" outlineLevel="0" collapsed="false">
      <c r="A12" s="6" t="s">
        <v>63</v>
      </c>
      <c r="B12" s="4"/>
      <c r="C12" s="4"/>
      <c r="D12" s="6" t="n">
        <v>7</v>
      </c>
      <c r="E12" s="6" t="n">
        <v>7</v>
      </c>
      <c r="F12" s="4"/>
      <c r="G12" s="4"/>
      <c r="H12" s="17"/>
      <c r="I12" s="4"/>
      <c r="J12" s="4"/>
    </row>
    <row r="13" customFormat="false" ht="15" hidden="false" customHeight="false" outlineLevel="0" collapsed="false">
      <c r="A13" s="6" t="s">
        <v>63</v>
      </c>
      <c r="B13" s="4"/>
      <c r="C13" s="4"/>
      <c r="D13" s="6" t="n">
        <v>8</v>
      </c>
      <c r="E13" s="6" t="n">
        <v>8</v>
      </c>
      <c r="F13" s="4"/>
      <c r="G13" s="4"/>
      <c r="H13" s="17"/>
      <c r="I13" s="4"/>
      <c r="J13" s="4"/>
    </row>
    <row r="14" customFormat="false" ht="15" hidden="false" customHeight="false" outlineLevel="0" collapsed="false">
      <c r="A14" s="6" t="s">
        <v>63</v>
      </c>
      <c r="B14" s="4"/>
      <c r="C14" s="4"/>
      <c r="D14" s="6" t="n">
        <v>9</v>
      </c>
      <c r="E14" s="6" t="n">
        <v>9</v>
      </c>
      <c r="F14" s="4"/>
      <c r="G14" s="4"/>
      <c r="H14" s="17"/>
      <c r="I14" s="4"/>
      <c r="J14" s="4"/>
    </row>
    <row r="15" customFormat="false" ht="15" hidden="false" customHeight="false" outlineLevel="0" collapsed="false">
      <c r="A15" s="6" t="s">
        <v>63</v>
      </c>
      <c r="B15" s="4"/>
      <c r="C15" s="4"/>
      <c r="D15" s="6" t="n">
        <v>10</v>
      </c>
      <c r="E15" s="6" t="n">
        <v>10</v>
      </c>
      <c r="F15" s="4"/>
      <c r="G15" s="4"/>
      <c r="H15" s="17"/>
      <c r="I15" s="4"/>
      <c r="J15" s="4"/>
    </row>
    <row r="16" customFormat="false" ht="15" hidden="false" customHeight="false" outlineLevel="0" collapsed="false">
      <c r="A16" s="6" t="s">
        <v>63</v>
      </c>
      <c r="B16" s="4"/>
      <c r="C16" s="4"/>
      <c r="D16" s="6" t="n">
        <v>11</v>
      </c>
      <c r="E16" s="6" t="n">
        <v>11</v>
      </c>
      <c r="F16" s="4"/>
      <c r="G16" s="4"/>
      <c r="H16" s="17"/>
      <c r="I16" s="4"/>
      <c r="J16" s="4"/>
    </row>
    <row r="17" customFormat="false" ht="15" hidden="false" customHeight="false" outlineLevel="0" collapsed="false">
      <c r="A17" s="6" t="s">
        <v>63</v>
      </c>
      <c r="B17" s="4"/>
      <c r="C17" s="4"/>
      <c r="D17" s="6" t="n">
        <v>12</v>
      </c>
      <c r="E17" s="6" t="n">
        <v>12</v>
      </c>
      <c r="F17" s="4"/>
      <c r="G17" s="4"/>
      <c r="H17" s="17"/>
      <c r="I17" s="4"/>
      <c r="J17" s="4"/>
    </row>
    <row r="18" customFormat="false" ht="15" hidden="false" customHeight="false" outlineLevel="0" collapsed="false">
      <c r="A18" s="6" t="s">
        <v>63</v>
      </c>
      <c r="B18" s="4"/>
      <c r="C18" s="4"/>
      <c r="D18" s="6" t="n">
        <v>13</v>
      </c>
      <c r="E18" s="6" t="n">
        <v>13</v>
      </c>
      <c r="F18" s="4"/>
      <c r="G18" s="4"/>
      <c r="H18" s="17"/>
      <c r="I18" s="4"/>
      <c r="J18" s="4"/>
    </row>
    <row r="19" customFormat="false" ht="15" hidden="false" customHeight="false" outlineLevel="0" collapsed="false">
      <c r="A19" s="6" t="s">
        <v>63</v>
      </c>
      <c r="B19" s="4"/>
      <c r="C19" s="4"/>
      <c r="D19" s="6" t="n">
        <v>14</v>
      </c>
      <c r="E19" s="6" t="n">
        <v>14</v>
      </c>
      <c r="F19" s="4"/>
      <c r="G19" s="4"/>
      <c r="H19" s="17"/>
      <c r="I19" s="4"/>
      <c r="J19" s="4"/>
    </row>
    <row r="20" customFormat="false" ht="15" hidden="false" customHeight="false" outlineLevel="0" collapsed="false">
      <c r="A20" s="6" t="s">
        <v>63</v>
      </c>
      <c r="B20" s="4"/>
      <c r="C20" s="4"/>
      <c r="D20" s="6" t="n">
        <v>15</v>
      </c>
      <c r="E20" s="6" t="n">
        <v>15</v>
      </c>
      <c r="F20" s="4"/>
      <c r="G20" s="4"/>
      <c r="H20" s="17"/>
      <c r="I20" s="4"/>
      <c r="J20" s="4"/>
    </row>
    <row r="21" customFormat="false" ht="15" hidden="false" customHeight="false" outlineLevel="0" collapsed="false">
      <c r="A21" s="6" t="s">
        <v>63</v>
      </c>
      <c r="B21" s="4"/>
      <c r="C21" s="4"/>
      <c r="D21" s="6" t="n">
        <v>16</v>
      </c>
      <c r="E21" s="6" t="n">
        <v>16</v>
      </c>
      <c r="F21" s="4"/>
      <c r="G21" s="4"/>
      <c r="H21" s="17"/>
      <c r="I21" s="4"/>
      <c r="J21" s="4"/>
    </row>
    <row r="22" customFormat="false" ht="15" hidden="false" customHeight="false" outlineLevel="0" collapsed="false">
      <c r="A22" s="6" t="s">
        <v>63</v>
      </c>
      <c r="B22" s="4"/>
      <c r="C22" s="4"/>
      <c r="D22" s="6" t="n">
        <v>23</v>
      </c>
      <c r="E22" s="6" t="n">
        <v>23</v>
      </c>
      <c r="F22" s="4"/>
      <c r="G22" s="4"/>
      <c r="H22" s="17"/>
      <c r="I22" s="4"/>
      <c r="J22" s="4"/>
    </row>
    <row r="23" customFormat="false" ht="15" hidden="false" customHeight="false" outlineLevel="0" collapsed="false">
      <c r="A23" s="6" t="s">
        <v>63</v>
      </c>
      <c r="B23" s="4"/>
      <c r="C23" s="4"/>
      <c r="D23" s="6" t="n">
        <v>24</v>
      </c>
      <c r="E23" s="6" t="n">
        <v>24</v>
      </c>
      <c r="F23" s="4"/>
      <c r="G23" s="4"/>
      <c r="H23" s="17"/>
      <c r="I23" s="4"/>
      <c r="J23" s="4"/>
    </row>
    <row r="24" customFormat="false" ht="15" hidden="false" customHeight="false" outlineLevel="0" collapsed="false">
      <c r="A24" s="6" t="s">
        <v>63</v>
      </c>
      <c r="B24" s="4"/>
      <c r="C24" s="4"/>
      <c r="D24" s="6" t="n">
        <v>25</v>
      </c>
      <c r="E24" s="6" t="n">
        <v>25</v>
      </c>
      <c r="F24" s="4"/>
      <c r="G24" s="4"/>
      <c r="H24" s="17"/>
      <c r="I24" s="4"/>
      <c r="J24" s="4"/>
    </row>
    <row r="25" customFormat="false" ht="15" hidden="false" customHeight="false" outlineLevel="0" collapsed="false">
      <c r="A25" s="6" t="s">
        <v>63</v>
      </c>
      <c r="B25" s="4"/>
      <c r="C25" s="4"/>
      <c r="D25" s="6" t="n">
        <v>26</v>
      </c>
      <c r="E25" s="6" t="n">
        <v>26</v>
      </c>
      <c r="F25" s="4"/>
      <c r="G25" s="4"/>
      <c r="H25" s="17"/>
      <c r="I25" s="4"/>
      <c r="J25" s="4"/>
    </row>
    <row r="26" customFormat="false" ht="15" hidden="false" customHeight="false" outlineLevel="0" collapsed="false">
      <c r="A26" s="6" t="s">
        <v>63</v>
      </c>
      <c r="B26" s="4"/>
      <c r="C26" s="4"/>
      <c r="D26" s="6" t="n">
        <v>27</v>
      </c>
      <c r="E26" s="6" t="n">
        <v>27</v>
      </c>
      <c r="F26" s="4"/>
      <c r="G26" s="4"/>
      <c r="H26" s="17"/>
      <c r="I26" s="4"/>
      <c r="J26" s="4"/>
    </row>
    <row r="27" customFormat="false" ht="15" hidden="false" customHeight="false" outlineLevel="0" collapsed="false">
      <c r="A27" s="6" t="s">
        <v>63</v>
      </c>
      <c r="B27" s="4"/>
      <c r="C27" s="4"/>
      <c r="D27" s="6" t="n">
        <v>28</v>
      </c>
      <c r="E27" s="6" t="n">
        <v>28</v>
      </c>
      <c r="F27" s="4"/>
      <c r="G27" s="4"/>
      <c r="H27" s="17"/>
      <c r="I27" s="4"/>
      <c r="J27" s="4"/>
    </row>
    <row r="28" customFormat="false" ht="15" hidden="false" customHeight="false" outlineLevel="0" collapsed="false">
      <c r="A28" s="6" t="s">
        <v>63</v>
      </c>
      <c r="B28" s="4"/>
      <c r="C28" s="4"/>
      <c r="D28" s="6" t="n">
        <v>29</v>
      </c>
      <c r="E28" s="6" t="n">
        <v>29</v>
      </c>
      <c r="F28" s="4"/>
      <c r="G28" s="4"/>
      <c r="H28" s="17"/>
      <c r="I28" s="4"/>
      <c r="J28" s="4"/>
    </row>
    <row r="29" customFormat="false" ht="15" hidden="false" customHeight="false" outlineLevel="0" collapsed="false">
      <c r="A29" s="6" t="s">
        <v>63</v>
      </c>
      <c r="B29" s="4"/>
      <c r="C29" s="4"/>
      <c r="D29" s="6" t="n">
        <v>30</v>
      </c>
      <c r="E29" s="6" t="n">
        <v>30</v>
      </c>
      <c r="F29" s="4"/>
      <c r="G29" s="4"/>
      <c r="H29" s="17"/>
      <c r="I29" s="4"/>
      <c r="J29" s="4"/>
    </row>
    <row r="30" customFormat="false" ht="15" hidden="false" customHeight="false" outlineLevel="0" collapsed="false">
      <c r="A30" s="6" t="s">
        <v>70</v>
      </c>
      <c r="B30" s="4"/>
      <c r="C30" s="4"/>
      <c r="D30" s="6" t="n">
        <v>1</v>
      </c>
      <c r="E30" s="6" t="n">
        <v>1</v>
      </c>
      <c r="F30" s="4"/>
      <c r="G30" s="4"/>
      <c r="H30" s="17"/>
      <c r="I30" s="4"/>
      <c r="J30" s="4"/>
    </row>
    <row r="31" customFormat="false" ht="15" hidden="false" customHeight="false" outlineLevel="0" collapsed="false">
      <c r="A31" s="6" t="s">
        <v>70</v>
      </c>
      <c r="B31" s="4"/>
      <c r="C31" s="4"/>
      <c r="D31" s="6" t="n">
        <v>2</v>
      </c>
      <c r="E31" s="6" t="n">
        <v>2</v>
      </c>
      <c r="F31" s="4"/>
      <c r="G31" s="4"/>
      <c r="H31" s="17"/>
      <c r="I31" s="4"/>
      <c r="J31" s="4"/>
    </row>
    <row r="32" customFormat="false" ht="15" hidden="false" customHeight="false" outlineLevel="0" collapsed="false">
      <c r="A32" s="6" t="s">
        <v>70</v>
      </c>
      <c r="B32" s="4"/>
      <c r="C32" s="4"/>
      <c r="D32" s="6" t="n">
        <v>3</v>
      </c>
      <c r="E32" s="6" t="n">
        <v>3</v>
      </c>
      <c r="F32" s="4"/>
      <c r="G32" s="4"/>
      <c r="H32" s="17"/>
      <c r="I32" s="4"/>
      <c r="J32" s="4"/>
    </row>
    <row r="33" customFormat="false" ht="15" hidden="false" customHeight="false" outlineLevel="0" collapsed="false">
      <c r="A33" s="6" t="s">
        <v>70</v>
      </c>
      <c r="B33" s="4"/>
      <c r="C33" s="4"/>
      <c r="D33" s="6" t="n">
        <v>4</v>
      </c>
      <c r="E33" s="6" t="n">
        <v>4</v>
      </c>
      <c r="F33" s="4"/>
      <c r="G33" s="4"/>
      <c r="H33" s="17"/>
      <c r="I33" s="4"/>
      <c r="J33" s="4"/>
    </row>
    <row r="34" customFormat="false" ht="15" hidden="false" customHeight="false" outlineLevel="0" collapsed="false">
      <c r="A34" s="6" t="s">
        <v>70</v>
      </c>
      <c r="B34" s="4"/>
      <c r="C34" s="4"/>
      <c r="D34" s="6" t="n">
        <v>5</v>
      </c>
      <c r="E34" s="6" t="n">
        <v>5</v>
      </c>
      <c r="F34" s="4"/>
      <c r="G34" s="4"/>
      <c r="H34" s="17"/>
      <c r="I34" s="4"/>
      <c r="J34" s="4"/>
    </row>
    <row r="35" customFormat="false" ht="15" hidden="false" customHeight="false" outlineLevel="0" collapsed="false">
      <c r="A35" s="6" t="s">
        <v>70</v>
      </c>
      <c r="B35" s="4"/>
      <c r="C35" s="4"/>
      <c r="D35" s="6" t="n">
        <v>6</v>
      </c>
      <c r="E35" s="6" t="n">
        <v>6</v>
      </c>
      <c r="F35" s="4"/>
      <c r="G35" s="4"/>
      <c r="H35" s="17"/>
      <c r="I35" s="4"/>
      <c r="J35" s="4"/>
    </row>
    <row r="36" customFormat="false" ht="15" hidden="false" customHeight="false" outlineLevel="0" collapsed="false">
      <c r="A36" s="6" t="s">
        <v>70</v>
      </c>
      <c r="B36" s="4"/>
      <c r="C36" s="4"/>
      <c r="D36" s="6" t="n">
        <v>7</v>
      </c>
      <c r="E36" s="6" t="n">
        <v>7</v>
      </c>
      <c r="F36" s="4"/>
      <c r="G36" s="4"/>
      <c r="H36" s="17"/>
      <c r="I36" s="4"/>
      <c r="J36" s="4"/>
    </row>
    <row r="37" customFormat="false" ht="15" hidden="false" customHeight="false" outlineLevel="0" collapsed="false">
      <c r="A37" s="6" t="s">
        <v>70</v>
      </c>
      <c r="B37" s="4"/>
      <c r="C37" s="4"/>
      <c r="D37" s="6" t="n">
        <v>8</v>
      </c>
      <c r="E37" s="6" t="n">
        <v>8</v>
      </c>
      <c r="F37" s="4"/>
      <c r="G37" s="4"/>
      <c r="H37" s="17"/>
      <c r="I37" s="4"/>
      <c r="J37" s="4"/>
    </row>
    <row r="38" customFormat="false" ht="15" hidden="false" customHeight="false" outlineLevel="0" collapsed="false">
      <c r="A38" s="6" t="s">
        <v>70</v>
      </c>
      <c r="B38" s="4"/>
      <c r="C38" s="4"/>
      <c r="D38" s="6" t="n">
        <v>9</v>
      </c>
      <c r="E38" s="6" t="n">
        <v>9</v>
      </c>
      <c r="F38" s="4"/>
      <c r="G38" s="4"/>
      <c r="H38" s="17"/>
      <c r="I38" s="4"/>
      <c r="J38" s="4"/>
    </row>
    <row r="39" customFormat="false" ht="15" hidden="false" customHeight="false" outlineLevel="0" collapsed="false">
      <c r="A39" s="6" t="s">
        <v>70</v>
      </c>
      <c r="B39" s="4"/>
      <c r="C39" s="4"/>
      <c r="D39" s="6" t="n">
        <v>10</v>
      </c>
      <c r="E39" s="6" t="n">
        <v>10</v>
      </c>
      <c r="F39" s="4"/>
      <c r="G39" s="4"/>
      <c r="H39" s="17"/>
      <c r="I39" s="4"/>
      <c r="J39" s="4"/>
    </row>
    <row r="40" customFormat="false" ht="15" hidden="false" customHeight="false" outlineLevel="0" collapsed="false">
      <c r="A40" s="6" t="s">
        <v>70</v>
      </c>
      <c r="B40" s="4"/>
      <c r="C40" s="4"/>
      <c r="D40" s="6" t="n">
        <v>11</v>
      </c>
      <c r="E40" s="6" t="n">
        <v>11</v>
      </c>
      <c r="F40" s="4"/>
      <c r="G40" s="4"/>
      <c r="H40" s="17"/>
      <c r="I40" s="4"/>
      <c r="J40" s="4"/>
    </row>
    <row r="41" customFormat="false" ht="15" hidden="false" customHeight="false" outlineLevel="0" collapsed="false">
      <c r="A41" s="6" t="s">
        <v>70</v>
      </c>
      <c r="B41" s="4"/>
      <c r="C41" s="4"/>
      <c r="D41" s="6" t="n">
        <v>12</v>
      </c>
      <c r="E41" s="6" t="n">
        <v>12</v>
      </c>
      <c r="F41" s="4"/>
      <c r="G41" s="4"/>
      <c r="H41" s="17"/>
      <c r="I41" s="4"/>
      <c r="J41" s="4"/>
    </row>
    <row r="42" customFormat="false" ht="15" hidden="false" customHeight="false" outlineLevel="0" collapsed="false">
      <c r="A42" s="6" t="s">
        <v>70</v>
      </c>
      <c r="B42" s="4"/>
      <c r="C42" s="4"/>
      <c r="D42" s="6" t="n">
        <v>13</v>
      </c>
      <c r="E42" s="6" t="n">
        <v>13</v>
      </c>
      <c r="F42" s="4"/>
      <c r="G42" s="4"/>
      <c r="H42" s="17"/>
      <c r="I42" s="4"/>
      <c r="J42" s="4"/>
    </row>
    <row r="43" customFormat="false" ht="15" hidden="false" customHeight="false" outlineLevel="0" collapsed="false">
      <c r="A43" s="6" t="s">
        <v>70</v>
      </c>
      <c r="B43" s="4"/>
      <c r="C43" s="4"/>
      <c r="D43" s="6" t="n">
        <v>14</v>
      </c>
      <c r="E43" s="6" t="n">
        <v>14</v>
      </c>
      <c r="F43" s="4"/>
      <c r="G43" s="4"/>
      <c r="H43" s="17"/>
      <c r="I43" s="4"/>
      <c r="J43" s="4"/>
    </row>
    <row r="44" customFormat="false" ht="15" hidden="false" customHeight="false" outlineLevel="0" collapsed="false">
      <c r="A44" s="6" t="s">
        <v>70</v>
      </c>
      <c r="B44" s="4"/>
      <c r="C44" s="4"/>
      <c r="D44" s="6" t="n">
        <v>15</v>
      </c>
      <c r="E44" s="6" t="n">
        <v>15</v>
      </c>
      <c r="F44" s="4"/>
      <c r="G44" s="4"/>
      <c r="H44" s="17"/>
      <c r="I44" s="4"/>
      <c r="J44" s="4"/>
    </row>
    <row r="45" customFormat="false" ht="15" hidden="false" customHeight="false" outlineLevel="0" collapsed="false">
      <c r="A45" s="6" t="s">
        <v>70</v>
      </c>
      <c r="B45" s="4"/>
      <c r="C45" s="4"/>
      <c r="D45" s="6" t="n">
        <v>16</v>
      </c>
      <c r="E45" s="6" t="n">
        <v>16</v>
      </c>
      <c r="F45" s="4"/>
      <c r="G45" s="4"/>
      <c r="H45" s="17"/>
      <c r="I45" s="4"/>
      <c r="J45" s="4"/>
    </row>
    <row r="46" customFormat="false" ht="15" hidden="false" customHeight="false" outlineLevel="0" collapsed="false">
      <c r="A46" s="6" t="s">
        <v>70</v>
      </c>
      <c r="B46" s="4"/>
      <c r="C46" s="4"/>
      <c r="D46" s="6" t="n">
        <v>23</v>
      </c>
      <c r="E46" s="6" t="n">
        <v>23</v>
      </c>
      <c r="F46" s="4"/>
      <c r="G46" s="4"/>
      <c r="H46" s="17"/>
      <c r="I46" s="4"/>
      <c r="J46" s="4"/>
    </row>
    <row r="47" customFormat="false" ht="15" hidden="false" customHeight="false" outlineLevel="0" collapsed="false">
      <c r="A47" s="6" t="s">
        <v>70</v>
      </c>
      <c r="B47" s="4"/>
      <c r="C47" s="4"/>
      <c r="D47" s="6" t="n">
        <v>24</v>
      </c>
      <c r="E47" s="6" t="n">
        <v>24</v>
      </c>
      <c r="F47" s="4"/>
      <c r="G47" s="4"/>
      <c r="H47" s="17"/>
      <c r="I47" s="4"/>
      <c r="J47" s="4"/>
    </row>
    <row r="48" customFormat="false" ht="15" hidden="false" customHeight="false" outlineLevel="0" collapsed="false">
      <c r="A48" s="6" t="s">
        <v>70</v>
      </c>
      <c r="B48" s="4"/>
      <c r="C48" s="4"/>
      <c r="D48" s="6" t="n">
        <v>25</v>
      </c>
      <c r="E48" s="6" t="n">
        <v>25</v>
      </c>
      <c r="F48" s="4"/>
      <c r="G48" s="4"/>
      <c r="H48" s="17"/>
      <c r="I48" s="4"/>
      <c r="J48" s="4"/>
    </row>
    <row r="49" customFormat="false" ht="15" hidden="false" customHeight="false" outlineLevel="0" collapsed="false">
      <c r="A49" s="6" t="s">
        <v>70</v>
      </c>
      <c r="B49" s="4"/>
      <c r="C49" s="4"/>
      <c r="D49" s="6" t="n">
        <v>26</v>
      </c>
      <c r="E49" s="6" t="n">
        <v>26</v>
      </c>
      <c r="F49" s="4"/>
      <c r="G49" s="4"/>
      <c r="H49" s="17"/>
      <c r="I49" s="4"/>
      <c r="J49" s="4"/>
    </row>
    <row r="50" customFormat="false" ht="15" hidden="false" customHeight="false" outlineLevel="0" collapsed="false">
      <c r="A50" s="6" t="s">
        <v>70</v>
      </c>
      <c r="B50" s="4"/>
      <c r="C50" s="4"/>
      <c r="D50" s="6" t="n">
        <v>27</v>
      </c>
      <c r="E50" s="6" t="n">
        <v>27</v>
      </c>
      <c r="F50" s="4"/>
      <c r="G50" s="4"/>
      <c r="H50" s="17"/>
      <c r="I50" s="4"/>
      <c r="J50" s="4"/>
    </row>
    <row r="51" customFormat="false" ht="15" hidden="false" customHeight="false" outlineLevel="0" collapsed="false">
      <c r="A51" s="6" t="s">
        <v>70</v>
      </c>
      <c r="B51" s="4"/>
      <c r="C51" s="4"/>
      <c r="D51" s="6" t="n">
        <v>28</v>
      </c>
      <c r="E51" s="6" t="n">
        <v>28</v>
      </c>
      <c r="F51" s="4"/>
      <c r="G51" s="4"/>
      <c r="H51" s="17"/>
      <c r="I51" s="4"/>
      <c r="J51" s="4"/>
    </row>
    <row r="52" customFormat="false" ht="15" hidden="false" customHeight="false" outlineLevel="0" collapsed="false">
      <c r="A52" s="6" t="s">
        <v>70</v>
      </c>
      <c r="B52" s="4"/>
      <c r="C52" s="4"/>
      <c r="D52" s="6" t="n">
        <v>29</v>
      </c>
      <c r="E52" s="6" t="n">
        <v>29</v>
      </c>
      <c r="F52" s="4"/>
      <c r="G52" s="4"/>
      <c r="H52" s="17"/>
      <c r="I52" s="4"/>
      <c r="J52" s="4"/>
    </row>
    <row r="53" customFormat="false" ht="15" hidden="false" customHeight="false" outlineLevel="0" collapsed="false">
      <c r="A53" s="6" t="s">
        <v>70</v>
      </c>
      <c r="B53" s="4"/>
      <c r="C53" s="4"/>
      <c r="D53" s="6" t="n">
        <v>30</v>
      </c>
      <c r="E53" s="6" t="n">
        <v>30</v>
      </c>
      <c r="F53" s="4"/>
      <c r="G53" s="4"/>
      <c r="H53" s="17"/>
      <c r="I53" s="4"/>
      <c r="J53" s="4"/>
    </row>
    <row r="54" customFormat="false" ht="15" hidden="false" customHeight="false" outlineLevel="0" collapsed="false">
      <c r="A54" s="6" t="s">
        <v>71</v>
      </c>
      <c r="B54" s="4"/>
      <c r="C54" s="4"/>
      <c r="D54" s="6" t="n">
        <v>1</v>
      </c>
      <c r="E54" s="6" t="n">
        <v>1</v>
      </c>
      <c r="F54" s="4"/>
      <c r="G54" s="4"/>
      <c r="H54" s="17"/>
      <c r="I54" s="4"/>
      <c r="J54" s="4"/>
    </row>
    <row r="55" customFormat="false" ht="15" hidden="false" customHeight="false" outlineLevel="0" collapsed="false">
      <c r="A55" s="6" t="s">
        <v>71</v>
      </c>
      <c r="B55" s="4"/>
      <c r="C55" s="4"/>
      <c r="D55" s="6" t="n">
        <v>2</v>
      </c>
      <c r="E55" s="6" t="n">
        <v>2</v>
      </c>
      <c r="F55" s="4"/>
      <c r="G55" s="4"/>
      <c r="H55" s="17"/>
      <c r="I55" s="4"/>
      <c r="J55" s="4"/>
    </row>
    <row r="56" customFormat="false" ht="15" hidden="false" customHeight="false" outlineLevel="0" collapsed="false">
      <c r="A56" s="6" t="s">
        <v>71</v>
      </c>
      <c r="B56" s="4"/>
      <c r="C56" s="4"/>
      <c r="D56" s="6" t="n">
        <v>3</v>
      </c>
      <c r="E56" s="6" t="n">
        <v>3</v>
      </c>
      <c r="F56" s="4"/>
      <c r="G56" s="4"/>
      <c r="H56" s="17"/>
      <c r="I56" s="4"/>
      <c r="J56" s="4"/>
    </row>
    <row r="57" customFormat="false" ht="15" hidden="false" customHeight="false" outlineLevel="0" collapsed="false">
      <c r="A57" s="6" t="s">
        <v>71</v>
      </c>
      <c r="B57" s="4"/>
      <c r="C57" s="4"/>
      <c r="D57" s="6" t="n">
        <v>4</v>
      </c>
      <c r="E57" s="6" t="n">
        <v>4</v>
      </c>
      <c r="F57" s="4"/>
      <c r="G57" s="4"/>
      <c r="H57" s="17"/>
      <c r="I57" s="4"/>
      <c r="J57" s="4"/>
    </row>
    <row r="58" customFormat="false" ht="15" hidden="false" customHeight="false" outlineLevel="0" collapsed="false">
      <c r="A58" s="6" t="s">
        <v>71</v>
      </c>
      <c r="B58" s="4"/>
      <c r="C58" s="4"/>
      <c r="D58" s="6" t="n">
        <v>5</v>
      </c>
      <c r="E58" s="6" t="n">
        <v>5</v>
      </c>
      <c r="F58" s="4"/>
      <c r="G58" s="4"/>
      <c r="H58" s="17"/>
      <c r="I58" s="4"/>
      <c r="J58" s="4"/>
    </row>
    <row r="59" customFormat="false" ht="15" hidden="false" customHeight="false" outlineLevel="0" collapsed="false">
      <c r="A59" s="6" t="s">
        <v>71</v>
      </c>
      <c r="B59" s="4"/>
      <c r="C59" s="4"/>
      <c r="D59" s="6" t="n">
        <v>6</v>
      </c>
      <c r="E59" s="6" t="n">
        <v>6</v>
      </c>
      <c r="F59" s="4"/>
      <c r="G59" s="4"/>
      <c r="H59" s="17"/>
      <c r="I59" s="4"/>
      <c r="J59" s="4"/>
    </row>
    <row r="60" customFormat="false" ht="15" hidden="false" customHeight="false" outlineLevel="0" collapsed="false">
      <c r="A60" s="6" t="s">
        <v>71</v>
      </c>
      <c r="B60" s="4"/>
      <c r="C60" s="4"/>
      <c r="D60" s="6" t="n">
        <v>7</v>
      </c>
      <c r="E60" s="6" t="n">
        <v>7</v>
      </c>
      <c r="F60" s="4"/>
      <c r="G60" s="4"/>
      <c r="H60" s="17"/>
      <c r="I60" s="4"/>
      <c r="J60" s="4"/>
    </row>
    <row r="61" customFormat="false" ht="15" hidden="false" customHeight="false" outlineLevel="0" collapsed="false">
      <c r="A61" s="6" t="s">
        <v>71</v>
      </c>
      <c r="B61" s="4"/>
      <c r="C61" s="4"/>
      <c r="D61" s="6" t="n">
        <v>8</v>
      </c>
      <c r="E61" s="6" t="n">
        <v>8</v>
      </c>
      <c r="F61" s="4"/>
      <c r="G61" s="4"/>
      <c r="H61" s="17"/>
      <c r="I61" s="4"/>
      <c r="J61" s="4"/>
    </row>
    <row r="62" customFormat="false" ht="15" hidden="false" customHeight="false" outlineLevel="0" collapsed="false">
      <c r="A62" s="6" t="s">
        <v>71</v>
      </c>
      <c r="B62" s="4"/>
      <c r="C62" s="4"/>
      <c r="D62" s="6" t="n">
        <v>9</v>
      </c>
      <c r="E62" s="6" t="n">
        <v>9</v>
      </c>
      <c r="F62" s="4"/>
      <c r="G62" s="4"/>
      <c r="H62" s="17"/>
      <c r="I62" s="4"/>
      <c r="J62" s="4"/>
    </row>
    <row r="63" customFormat="false" ht="15" hidden="false" customHeight="false" outlineLevel="0" collapsed="false">
      <c r="A63" s="6" t="s">
        <v>71</v>
      </c>
      <c r="B63" s="4"/>
      <c r="C63" s="4"/>
      <c r="D63" s="6" t="n">
        <v>10</v>
      </c>
      <c r="E63" s="6" t="n">
        <v>10</v>
      </c>
      <c r="F63" s="4"/>
      <c r="G63" s="4"/>
      <c r="H63" s="17"/>
      <c r="I63" s="4"/>
      <c r="J63" s="4"/>
    </row>
    <row r="64" customFormat="false" ht="15" hidden="false" customHeight="false" outlineLevel="0" collapsed="false">
      <c r="A64" s="6" t="s">
        <v>71</v>
      </c>
      <c r="B64" s="4"/>
      <c r="C64" s="4"/>
      <c r="D64" s="6" t="n">
        <v>11</v>
      </c>
      <c r="E64" s="6" t="n">
        <v>11</v>
      </c>
      <c r="F64" s="4"/>
      <c r="G64" s="4"/>
      <c r="H64" s="17"/>
      <c r="I64" s="4"/>
      <c r="J64" s="4"/>
    </row>
    <row r="65" customFormat="false" ht="15" hidden="false" customHeight="false" outlineLevel="0" collapsed="false">
      <c r="A65" s="6" t="s">
        <v>71</v>
      </c>
      <c r="B65" s="4"/>
      <c r="C65" s="4"/>
      <c r="D65" s="6" t="n">
        <v>12</v>
      </c>
      <c r="E65" s="6" t="n">
        <v>12</v>
      </c>
      <c r="F65" s="4"/>
      <c r="G65" s="4"/>
      <c r="H65" s="17"/>
      <c r="I65" s="4"/>
      <c r="J65" s="4"/>
    </row>
    <row r="66" customFormat="false" ht="15" hidden="false" customHeight="false" outlineLevel="0" collapsed="false">
      <c r="A66" s="6" t="s">
        <v>71</v>
      </c>
      <c r="B66" s="4"/>
      <c r="C66" s="4"/>
      <c r="D66" s="6" t="n">
        <v>13</v>
      </c>
      <c r="E66" s="6" t="n">
        <v>13</v>
      </c>
      <c r="F66" s="4"/>
      <c r="G66" s="4"/>
      <c r="H66" s="17"/>
      <c r="I66" s="4"/>
      <c r="J66" s="4"/>
    </row>
    <row r="67" customFormat="false" ht="15" hidden="false" customHeight="false" outlineLevel="0" collapsed="false">
      <c r="A67" s="6" t="s">
        <v>71</v>
      </c>
      <c r="B67" s="4"/>
      <c r="C67" s="4"/>
      <c r="D67" s="6" t="n">
        <v>14</v>
      </c>
      <c r="E67" s="6" t="n">
        <v>14</v>
      </c>
      <c r="F67" s="4"/>
      <c r="G67" s="4"/>
      <c r="H67" s="17"/>
      <c r="I67" s="4"/>
      <c r="J67" s="4"/>
    </row>
    <row r="68" customFormat="false" ht="15" hidden="false" customHeight="false" outlineLevel="0" collapsed="false">
      <c r="A68" s="6" t="s">
        <v>71</v>
      </c>
      <c r="B68" s="4"/>
      <c r="C68" s="4"/>
      <c r="D68" s="6" t="n">
        <v>15</v>
      </c>
      <c r="E68" s="6" t="n">
        <v>15</v>
      </c>
      <c r="F68" s="4"/>
      <c r="G68" s="4"/>
      <c r="H68" s="17"/>
      <c r="I68" s="4"/>
      <c r="J68" s="4"/>
    </row>
    <row r="69" customFormat="false" ht="15" hidden="false" customHeight="false" outlineLevel="0" collapsed="false">
      <c r="A69" s="6" t="s">
        <v>71</v>
      </c>
      <c r="B69" s="4"/>
      <c r="C69" s="4"/>
      <c r="D69" s="6" t="n">
        <v>16</v>
      </c>
      <c r="E69" s="6" t="n">
        <v>16</v>
      </c>
      <c r="F69" s="4"/>
      <c r="G69" s="4"/>
      <c r="H69" s="17"/>
      <c r="I69" s="4"/>
      <c r="J69" s="4"/>
    </row>
    <row r="70" customFormat="false" ht="15" hidden="false" customHeight="false" outlineLevel="0" collapsed="false">
      <c r="A70" s="6" t="s">
        <v>71</v>
      </c>
      <c r="B70" s="4"/>
      <c r="C70" s="4"/>
      <c r="D70" s="6" t="n">
        <v>23</v>
      </c>
      <c r="E70" s="6" t="n">
        <v>23</v>
      </c>
      <c r="F70" s="4"/>
      <c r="G70" s="4"/>
      <c r="H70" s="17"/>
      <c r="I70" s="4"/>
      <c r="J70" s="4"/>
    </row>
    <row r="71" customFormat="false" ht="15" hidden="false" customHeight="false" outlineLevel="0" collapsed="false">
      <c r="A71" s="6" t="s">
        <v>71</v>
      </c>
      <c r="B71" s="4"/>
      <c r="C71" s="4"/>
      <c r="D71" s="6" t="n">
        <v>24</v>
      </c>
      <c r="E71" s="6" t="n">
        <v>24</v>
      </c>
      <c r="F71" s="4"/>
      <c r="G71" s="4"/>
      <c r="H71" s="17"/>
      <c r="I71" s="4"/>
      <c r="J71" s="4"/>
    </row>
    <row r="72" customFormat="false" ht="15" hidden="false" customHeight="false" outlineLevel="0" collapsed="false">
      <c r="A72" s="6" t="s">
        <v>71</v>
      </c>
      <c r="B72" s="4"/>
      <c r="C72" s="4"/>
      <c r="D72" s="6" t="n">
        <v>25</v>
      </c>
      <c r="E72" s="6" t="n">
        <v>25</v>
      </c>
      <c r="F72" s="4"/>
      <c r="G72" s="4"/>
      <c r="H72" s="17"/>
      <c r="I72" s="4"/>
      <c r="J72" s="4"/>
    </row>
    <row r="73" customFormat="false" ht="15" hidden="false" customHeight="false" outlineLevel="0" collapsed="false">
      <c r="A73" s="6" t="s">
        <v>71</v>
      </c>
      <c r="B73" s="4"/>
      <c r="C73" s="4"/>
      <c r="D73" s="6" t="n">
        <v>26</v>
      </c>
      <c r="E73" s="6" t="n">
        <v>26</v>
      </c>
      <c r="F73" s="4"/>
      <c r="G73" s="4"/>
      <c r="H73" s="17"/>
      <c r="I73" s="4"/>
      <c r="J73" s="4"/>
    </row>
    <row r="74" customFormat="false" ht="15" hidden="false" customHeight="false" outlineLevel="0" collapsed="false">
      <c r="A74" s="6" t="s">
        <v>71</v>
      </c>
      <c r="B74" s="4"/>
      <c r="C74" s="4"/>
      <c r="D74" s="6" t="n">
        <v>27</v>
      </c>
      <c r="E74" s="6" t="n">
        <v>27</v>
      </c>
      <c r="F74" s="4"/>
      <c r="G74" s="4"/>
      <c r="H74" s="17"/>
      <c r="I74" s="4"/>
      <c r="J74" s="4"/>
    </row>
    <row r="75" customFormat="false" ht="15" hidden="false" customHeight="false" outlineLevel="0" collapsed="false">
      <c r="A75" s="6" t="s">
        <v>71</v>
      </c>
      <c r="B75" s="4"/>
      <c r="C75" s="4"/>
      <c r="D75" s="6" t="n">
        <v>28</v>
      </c>
      <c r="E75" s="6" t="n">
        <v>28</v>
      </c>
      <c r="F75" s="4"/>
      <c r="G75" s="4"/>
      <c r="H75" s="17"/>
      <c r="I75" s="4"/>
      <c r="J75" s="4"/>
    </row>
    <row r="76" customFormat="false" ht="15" hidden="false" customHeight="false" outlineLevel="0" collapsed="false">
      <c r="A76" s="6" t="s">
        <v>71</v>
      </c>
      <c r="B76" s="4"/>
      <c r="C76" s="4"/>
      <c r="D76" s="6" t="n">
        <v>29</v>
      </c>
      <c r="E76" s="6" t="n">
        <v>29</v>
      </c>
      <c r="F76" s="4"/>
      <c r="G76" s="4"/>
      <c r="H76" s="17"/>
      <c r="I76" s="4"/>
      <c r="J76" s="4"/>
    </row>
    <row r="77" customFormat="false" ht="15" hidden="false" customHeight="false" outlineLevel="0" collapsed="false">
      <c r="A77" s="6" t="s">
        <v>71</v>
      </c>
      <c r="B77" s="4"/>
      <c r="C77" s="4"/>
      <c r="D77" s="6" t="n">
        <v>30</v>
      </c>
      <c r="E77" s="6" t="n">
        <v>30</v>
      </c>
      <c r="F77" s="4"/>
      <c r="G77" s="4"/>
      <c r="H77" s="17"/>
      <c r="I77" s="4"/>
      <c r="J77" s="4"/>
    </row>
    <row r="78" customFormat="false" ht="15" hidden="false" customHeight="false" outlineLevel="0" collapsed="false">
      <c r="A78" s="6" t="s">
        <v>72</v>
      </c>
      <c r="B78" s="4"/>
      <c r="C78" s="4"/>
      <c r="D78" s="6" t="n">
        <v>1</v>
      </c>
      <c r="E78" s="6" t="n">
        <v>1</v>
      </c>
      <c r="F78" s="4"/>
      <c r="G78" s="4"/>
      <c r="H78" s="17"/>
      <c r="I78" s="4"/>
      <c r="J78" s="4"/>
    </row>
    <row r="79" customFormat="false" ht="15" hidden="false" customHeight="false" outlineLevel="0" collapsed="false">
      <c r="A79" s="6" t="s">
        <v>72</v>
      </c>
      <c r="B79" s="4"/>
      <c r="C79" s="4"/>
      <c r="D79" s="6" t="n">
        <v>2</v>
      </c>
      <c r="E79" s="6" t="n">
        <v>2</v>
      </c>
      <c r="F79" s="4"/>
      <c r="G79" s="4"/>
      <c r="H79" s="17"/>
      <c r="I79" s="4"/>
      <c r="J79" s="4"/>
    </row>
    <row r="80" customFormat="false" ht="15" hidden="false" customHeight="false" outlineLevel="0" collapsed="false">
      <c r="A80" s="6" t="s">
        <v>72</v>
      </c>
      <c r="B80" s="4"/>
      <c r="C80" s="4"/>
      <c r="D80" s="6" t="n">
        <v>3</v>
      </c>
      <c r="E80" s="6" t="n">
        <v>3</v>
      </c>
      <c r="F80" s="4"/>
      <c r="G80" s="4"/>
      <c r="H80" s="17"/>
      <c r="I80" s="4"/>
      <c r="J80" s="4"/>
    </row>
    <row r="81" customFormat="false" ht="15" hidden="false" customHeight="false" outlineLevel="0" collapsed="false">
      <c r="A81" s="6" t="s">
        <v>72</v>
      </c>
      <c r="B81" s="4"/>
      <c r="C81" s="4"/>
      <c r="D81" s="6" t="n">
        <v>4</v>
      </c>
      <c r="E81" s="6" t="n">
        <v>4</v>
      </c>
      <c r="F81" s="4"/>
      <c r="G81" s="4"/>
      <c r="H81" s="17"/>
      <c r="I81" s="4"/>
      <c r="J81" s="4"/>
    </row>
    <row r="82" customFormat="false" ht="15" hidden="false" customHeight="false" outlineLevel="0" collapsed="false">
      <c r="A82" s="6" t="s">
        <v>72</v>
      </c>
      <c r="B82" s="4"/>
      <c r="C82" s="4"/>
      <c r="D82" s="6" t="n">
        <v>5</v>
      </c>
      <c r="E82" s="6" t="n">
        <v>5</v>
      </c>
      <c r="F82" s="4"/>
      <c r="G82" s="4"/>
      <c r="H82" s="17"/>
      <c r="I82" s="4"/>
      <c r="J82" s="4"/>
    </row>
    <row r="83" customFormat="false" ht="15" hidden="false" customHeight="false" outlineLevel="0" collapsed="false">
      <c r="A83" s="6" t="s">
        <v>72</v>
      </c>
      <c r="B83" s="4"/>
      <c r="C83" s="4"/>
      <c r="D83" s="6" t="n">
        <v>6</v>
      </c>
      <c r="E83" s="6" t="n">
        <v>6</v>
      </c>
      <c r="F83" s="4"/>
      <c r="G83" s="4"/>
      <c r="H83" s="17"/>
      <c r="I83" s="4"/>
      <c r="J83" s="4"/>
    </row>
    <row r="84" customFormat="false" ht="15" hidden="false" customHeight="false" outlineLevel="0" collapsed="false">
      <c r="A84" s="6" t="s">
        <v>72</v>
      </c>
      <c r="B84" s="4"/>
      <c r="C84" s="4"/>
      <c r="D84" s="6" t="n">
        <v>7</v>
      </c>
      <c r="E84" s="6" t="n">
        <v>7</v>
      </c>
      <c r="F84" s="4"/>
      <c r="G84" s="4"/>
      <c r="H84" s="17"/>
      <c r="I84" s="4"/>
      <c r="J84" s="4"/>
    </row>
    <row r="85" customFormat="false" ht="15" hidden="false" customHeight="false" outlineLevel="0" collapsed="false">
      <c r="A85" s="6" t="s">
        <v>72</v>
      </c>
      <c r="B85" s="4"/>
      <c r="C85" s="4"/>
      <c r="D85" s="6" t="n">
        <v>8</v>
      </c>
      <c r="E85" s="6" t="n">
        <v>8</v>
      </c>
      <c r="F85" s="4"/>
      <c r="G85" s="4"/>
      <c r="H85" s="17"/>
      <c r="I85" s="4"/>
      <c r="J85" s="4"/>
    </row>
    <row r="86" customFormat="false" ht="15" hidden="false" customHeight="false" outlineLevel="0" collapsed="false">
      <c r="A86" s="6" t="s">
        <v>72</v>
      </c>
      <c r="B86" s="4"/>
      <c r="C86" s="4"/>
      <c r="D86" s="6" t="n">
        <v>9</v>
      </c>
      <c r="E86" s="6" t="n">
        <v>9</v>
      </c>
      <c r="F86" s="4"/>
      <c r="G86" s="4"/>
      <c r="H86" s="17"/>
      <c r="I86" s="4"/>
      <c r="J86" s="4"/>
    </row>
    <row r="87" customFormat="false" ht="15" hidden="false" customHeight="false" outlineLevel="0" collapsed="false">
      <c r="A87" s="6" t="s">
        <v>72</v>
      </c>
      <c r="B87" s="4"/>
      <c r="C87" s="4"/>
      <c r="D87" s="6" t="n">
        <v>10</v>
      </c>
      <c r="E87" s="6" t="n">
        <v>10</v>
      </c>
      <c r="F87" s="4"/>
      <c r="G87" s="4"/>
      <c r="H87" s="17"/>
      <c r="I87" s="4"/>
      <c r="J87" s="4"/>
    </row>
    <row r="88" customFormat="false" ht="15" hidden="false" customHeight="false" outlineLevel="0" collapsed="false">
      <c r="A88" s="6" t="s">
        <v>72</v>
      </c>
      <c r="B88" s="4"/>
      <c r="C88" s="4"/>
      <c r="D88" s="6" t="n">
        <v>11</v>
      </c>
      <c r="E88" s="6" t="n">
        <v>11</v>
      </c>
      <c r="F88" s="4"/>
      <c r="G88" s="4"/>
      <c r="H88" s="17"/>
      <c r="I88" s="4"/>
      <c r="J88" s="4"/>
    </row>
    <row r="89" customFormat="false" ht="15" hidden="false" customHeight="false" outlineLevel="0" collapsed="false">
      <c r="A89" s="6" t="s">
        <v>72</v>
      </c>
      <c r="B89" s="4"/>
      <c r="C89" s="4"/>
      <c r="D89" s="6" t="n">
        <v>12</v>
      </c>
      <c r="E89" s="6" t="n">
        <v>12</v>
      </c>
      <c r="F89" s="4"/>
      <c r="G89" s="4"/>
      <c r="H89" s="17"/>
      <c r="I89" s="4"/>
      <c r="J89" s="4"/>
    </row>
    <row r="90" customFormat="false" ht="15" hidden="false" customHeight="false" outlineLevel="0" collapsed="false">
      <c r="A90" s="6" t="s">
        <v>72</v>
      </c>
      <c r="B90" s="4"/>
      <c r="C90" s="4"/>
      <c r="D90" s="6" t="n">
        <v>13</v>
      </c>
      <c r="E90" s="6" t="n">
        <v>13</v>
      </c>
      <c r="F90" s="4"/>
      <c r="G90" s="4"/>
      <c r="H90" s="17"/>
      <c r="I90" s="4"/>
      <c r="J90" s="4"/>
    </row>
    <row r="91" customFormat="false" ht="15" hidden="false" customHeight="false" outlineLevel="0" collapsed="false">
      <c r="A91" s="6" t="s">
        <v>72</v>
      </c>
      <c r="B91" s="4"/>
      <c r="C91" s="4"/>
      <c r="D91" s="6" t="n">
        <v>14</v>
      </c>
      <c r="E91" s="6" t="n">
        <v>14</v>
      </c>
      <c r="F91" s="4"/>
      <c r="G91" s="4"/>
      <c r="H91" s="17"/>
      <c r="I91" s="4"/>
      <c r="J91" s="4"/>
    </row>
    <row r="92" customFormat="false" ht="15" hidden="false" customHeight="false" outlineLevel="0" collapsed="false">
      <c r="A92" s="6" t="s">
        <v>72</v>
      </c>
      <c r="B92" s="4"/>
      <c r="C92" s="4"/>
      <c r="D92" s="6" t="n">
        <v>15</v>
      </c>
      <c r="E92" s="6" t="n">
        <v>15</v>
      </c>
      <c r="F92" s="4"/>
      <c r="G92" s="4"/>
      <c r="H92" s="17"/>
      <c r="I92" s="4"/>
      <c r="J92" s="4"/>
    </row>
    <row r="93" customFormat="false" ht="15" hidden="false" customHeight="false" outlineLevel="0" collapsed="false">
      <c r="A93" s="6" t="s">
        <v>72</v>
      </c>
      <c r="B93" s="4"/>
      <c r="C93" s="4"/>
      <c r="D93" s="6" t="n">
        <v>16</v>
      </c>
      <c r="E93" s="6" t="n">
        <v>16</v>
      </c>
      <c r="F93" s="4"/>
      <c r="G93" s="4"/>
      <c r="H93" s="17"/>
      <c r="I93" s="4"/>
      <c r="J93" s="4"/>
    </row>
    <row r="94" customFormat="false" ht="15" hidden="false" customHeight="false" outlineLevel="0" collapsed="false">
      <c r="A94" s="6" t="s">
        <v>72</v>
      </c>
      <c r="B94" s="4"/>
      <c r="C94" s="4"/>
      <c r="D94" s="6" t="n">
        <v>23</v>
      </c>
      <c r="E94" s="6" t="n">
        <v>23</v>
      </c>
      <c r="F94" s="4"/>
      <c r="G94" s="4"/>
      <c r="H94" s="17"/>
      <c r="I94" s="4"/>
      <c r="J94" s="4"/>
    </row>
    <row r="95" customFormat="false" ht="15" hidden="false" customHeight="false" outlineLevel="0" collapsed="false">
      <c r="A95" s="6" t="s">
        <v>72</v>
      </c>
      <c r="B95" s="4"/>
      <c r="C95" s="4"/>
      <c r="D95" s="6" t="n">
        <v>24</v>
      </c>
      <c r="E95" s="6" t="n">
        <v>24</v>
      </c>
      <c r="F95" s="4"/>
      <c r="G95" s="4"/>
      <c r="H95" s="17"/>
      <c r="I95" s="4"/>
      <c r="J95" s="4"/>
    </row>
    <row r="96" customFormat="false" ht="15" hidden="false" customHeight="false" outlineLevel="0" collapsed="false">
      <c r="A96" s="6" t="s">
        <v>72</v>
      </c>
      <c r="B96" s="4"/>
      <c r="C96" s="4"/>
      <c r="D96" s="6" t="n">
        <v>25</v>
      </c>
      <c r="E96" s="6" t="n">
        <v>25</v>
      </c>
      <c r="F96" s="4"/>
      <c r="G96" s="4"/>
      <c r="H96" s="17"/>
      <c r="I96" s="4"/>
      <c r="J96" s="4"/>
    </row>
    <row r="97" customFormat="false" ht="15" hidden="false" customHeight="false" outlineLevel="0" collapsed="false">
      <c r="A97" s="6" t="s">
        <v>72</v>
      </c>
      <c r="B97" s="4"/>
      <c r="C97" s="4"/>
      <c r="D97" s="6" t="n">
        <v>26</v>
      </c>
      <c r="E97" s="6" t="n">
        <v>26</v>
      </c>
      <c r="F97" s="4"/>
      <c r="G97" s="4"/>
      <c r="H97" s="17"/>
      <c r="I97" s="4"/>
      <c r="J97" s="4"/>
    </row>
    <row r="98" customFormat="false" ht="15" hidden="false" customHeight="false" outlineLevel="0" collapsed="false">
      <c r="A98" s="6" t="s">
        <v>72</v>
      </c>
      <c r="B98" s="4"/>
      <c r="C98" s="4"/>
      <c r="D98" s="6" t="n">
        <v>27</v>
      </c>
      <c r="E98" s="6" t="n">
        <v>27</v>
      </c>
      <c r="F98" s="4"/>
      <c r="G98" s="4"/>
      <c r="H98" s="17"/>
      <c r="I98" s="4"/>
      <c r="J98" s="4"/>
    </row>
    <row r="99" customFormat="false" ht="15" hidden="false" customHeight="false" outlineLevel="0" collapsed="false">
      <c r="A99" s="6" t="s">
        <v>72</v>
      </c>
      <c r="B99" s="4"/>
      <c r="C99" s="4"/>
      <c r="D99" s="6" t="n">
        <v>28</v>
      </c>
      <c r="E99" s="6" t="n">
        <v>28</v>
      </c>
      <c r="F99" s="4"/>
      <c r="G99" s="4"/>
      <c r="H99" s="17"/>
      <c r="I99" s="4"/>
      <c r="J99" s="4"/>
    </row>
    <row r="100" customFormat="false" ht="15" hidden="false" customHeight="false" outlineLevel="0" collapsed="false">
      <c r="A100" s="6" t="s">
        <v>72</v>
      </c>
      <c r="B100" s="4"/>
      <c r="C100" s="4"/>
      <c r="D100" s="6" t="n">
        <v>29</v>
      </c>
      <c r="E100" s="6" t="n">
        <v>29</v>
      </c>
      <c r="F100" s="4"/>
      <c r="G100" s="4"/>
      <c r="H100" s="17"/>
      <c r="I100" s="4"/>
      <c r="J100" s="4"/>
    </row>
    <row r="101" customFormat="false" ht="15" hidden="false" customHeight="false" outlineLevel="0" collapsed="false">
      <c r="A101" s="6" t="s">
        <v>72</v>
      </c>
      <c r="B101" s="4"/>
      <c r="C101" s="4"/>
      <c r="D101" s="6" t="n">
        <v>30</v>
      </c>
      <c r="E101" s="6" t="n">
        <v>30</v>
      </c>
      <c r="F101" s="4"/>
      <c r="G101" s="4"/>
      <c r="H101" s="17"/>
      <c r="I101" s="4"/>
      <c r="J101" s="4"/>
    </row>
  </sheetData>
  <dataValidations count="1">
    <dataValidation allowBlank="true" operator="between" showDropDown="false" showErrorMessage="false" showInputMessage="false" sqref="F6:F101" type="list">
      <formula1>"Y,N"</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W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4" min="3" style="0" width="10"/>
    <col collapsed="false" customWidth="true" hidden="false" outlineLevel="0" max="5" min="5" style="0" width="11"/>
    <col collapsed="false" customWidth="true" hidden="false" outlineLevel="0" max="6" min="6" style="0" width="8"/>
    <col collapsed="false" customWidth="true" hidden="false" outlineLevel="0" max="7" min="7" style="0" width="11"/>
    <col collapsed="false" customWidth="true" hidden="false" outlineLevel="0" max="9" min="8" style="0" width="10"/>
    <col collapsed="false" customWidth="true" hidden="false" outlineLevel="0" max="10" min="10" style="0" width="8"/>
    <col collapsed="false" customWidth="true" hidden="false" outlineLevel="0" max="11" min="11" style="0" width="11"/>
    <col collapsed="false" customWidth="true" hidden="false" outlineLevel="0" max="14" min="12" style="0" width="10"/>
    <col collapsed="false" customWidth="true" hidden="false" outlineLevel="0" max="15" min="15" style="0" width="9"/>
    <col collapsed="false" customWidth="true" hidden="false" outlineLevel="0" max="18" min="16" style="0" width="10"/>
    <col collapsed="false" customWidth="true" hidden="false" outlineLevel="0" max="19" min="19" style="0" width="34"/>
    <col collapsed="false" customWidth="true" hidden="false" outlineLevel="0" max="20" min="20" style="0" width="22"/>
    <col collapsed="false" customWidth="true" hidden="false" outlineLevel="0" max="21" min="21" style="0" width="10"/>
    <col collapsed="false" customWidth="true" hidden="false" outlineLevel="0" max="22" min="22" style="0" width="11"/>
    <col collapsed="false" customWidth="true" hidden="false" outlineLevel="0" max="23" min="23" style="0" width="30"/>
  </cols>
  <sheetData>
    <row r="1" customFormat="false" ht="15" hidden="false" customHeight="false" outlineLevel="0" collapsed="false">
      <c r="A1" s="3" t="s">
        <v>73</v>
      </c>
    </row>
    <row r="2" customFormat="false" ht="15" hidden="false" customHeight="false" outlineLevel="0" collapsed="false">
      <c r="A2" s="14" t="s">
        <v>74</v>
      </c>
      <c r="D2" s="4"/>
      <c r="F2" s="14" t="s">
        <v>75</v>
      </c>
      <c r="H2" s="18" t="n">
        <v>3</v>
      </c>
      <c r="J2" s="14" t="s">
        <v>76</v>
      </c>
      <c r="K2" s="19" t="str">
        <f aca="false">IF($D$3="","",$D$3+$H$2)</f>
        <v/>
      </c>
      <c r="M2" s="14" t="s">
        <v>77</v>
      </c>
      <c r="P2" s="7" t="n">
        <f aca="false">COUNT(O8:O103)</f>
        <v>0</v>
      </c>
    </row>
    <row r="3" customFormat="false" ht="15" hidden="false" customHeight="false" outlineLevel="0" collapsed="false">
      <c r="A3" s="14" t="s">
        <v>78</v>
      </c>
      <c r="D3" s="20"/>
      <c r="F3" s="14" t="s">
        <v>79</v>
      </c>
      <c r="H3" s="18" t="n">
        <v>4</v>
      </c>
      <c r="J3" s="14" t="s">
        <v>80</v>
      </c>
      <c r="K3" s="19" t="str">
        <f aca="false">IF($D$3="","",$D$3+$H$3)</f>
        <v/>
      </c>
      <c r="M3" s="14" t="s">
        <v>81</v>
      </c>
      <c r="P3" s="21" t="str">
        <f aca="false">IF(COUNT(O8:O103)=0,"",AVERAGE(O8:O103))</f>
        <v/>
      </c>
      <c r="Q3" s="21" t="str">
        <f aca="false">IF(COUNT(O8:O103)&lt;2,"",STDEV(O8:O103))</f>
        <v/>
      </c>
    </row>
    <row r="4" customFormat="false" ht="15" hidden="false" customHeight="false" outlineLevel="0" collapsed="false">
      <c r="M4" s="14" t="s">
        <v>82</v>
      </c>
      <c r="P4" s="22" t="str">
        <f aca="false">IF(COUNT(N8:N103)=0,"",AVERAGE(N8:N103))</f>
        <v/>
      </c>
      <c r="Q4" s="22" t="str">
        <f aca="false">IF(COUNT(N8:N103)&lt;2,"",STDEV(N8:N103))</f>
        <v/>
      </c>
    </row>
    <row r="6" customFormat="false" ht="42" hidden="false" customHeight="true" outlineLevel="0" collapsed="false">
      <c r="A6" s="10" t="s">
        <v>53</v>
      </c>
      <c r="B6" s="10" t="s">
        <v>56</v>
      </c>
      <c r="C6" s="10" t="s">
        <v>57</v>
      </c>
      <c r="D6" s="10" t="s">
        <v>54</v>
      </c>
      <c r="E6" s="10" t="s">
        <v>83</v>
      </c>
      <c r="F6" s="10" t="s">
        <v>84</v>
      </c>
      <c r="G6" s="10" t="s">
        <v>85</v>
      </c>
      <c r="H6" s="10" t="s">
        <v>86</v>
      </c>
      <c r="I6" s="10" t="s">
        <v>87</v>
      </c>
      <c r="J6" s="10" t="s">
        <v>88</v>
      </c>
      <c r="K6" s="10" t="s">
        <v>89</v>
      </c>
      <c r="L6" s="10" t="s">
        <v>90</v>
      </c>
      <c r="M6" s="10" t="s">
        <v>91</v>
      </c>
      <c r="N6" s="10" t="s">
        <v>92</v>
      </c>
      <c r="O6" s="10" t="s">
        <v>93</v>
      </c>
      <c r="P6" s="10" t="s">
        <v>94</v>
      </c>
      <c r="Q6" s="10" t="s">
        <v>95</v>
      </c>
      <c r="R6" s="10" t="s">
        <v>96</v>
      </c>
      <c r="S6" s="10" t="s">
        <v>97</v>
      </c>
      <c r="T6" s="10" t="s">
        <v>98</v>
      </c>
      <c r="U6" s="10" t="s">
        <v>99</v>
      </c>
      <c r="V6" s="10" t="s">
        <v>60</v>
      </c>
      <c r="W6" s="10" t="s">
        <v>62</v>
      </c>
    </row>
    <row r="7" customFormat="false" ht="15" hidden="false" customHeight="false" outlineLevel="0" collapsed="false">
      <c r="A7" s="16" t="s">
        <v>63</v>
      </c>
      <c r="B7" s="16" t="n">
        <v>7</v>
      </c>
      <c r="C7" s="16" t="n">
        <v>7</v>
      </c>
      <c r="D7" s="16" t="n">
        <v>7</v>
      </c>
      <c r="E7" s="16" t="n">
        <v>420</v>
      </c>
      <c r="F7" s="16" t="n">
        <v>100</v>
      </c>
      <c r="G7" s="16" t="n">
        <v>862</v>
      </c>
      <c r="H7" s="16" t="n">
        <v>431</v>
      </c>
      <c r="I7" s="16" t="s">
        <v>65</v>
      </c>
      <c r="J7" s="16" t="n">
        <v>100</v>
      </c>
      <c r="K7" s="16" t="n">
        <v>1151</v>
      </c>
      <c r="L7" s="16" t="n">
        <v>576</v>
      </c>
      <c r="M7" s="16" t="s">
        <v>65</v>
      </c>
      <c r="N7" s="16" t="n">
        <v>289</v>
      </c>
      <c r="O7" s="16" t="n">
        <v>45.017</v>
      </c>
      <c r="P7" s="16" t="n">
        <v>867</v>
      </c>
      <c r="Q7" s="16" t="n">
        <v>0.49</v>
      </c>
      <c r="R7" s="16" t="n">
        <v>-0.08</v>
      </c>
      <c r="S7" s="16" t="s">
        <v>100</v>
      </c>
      <c r="T7" s="16" t="s">
        <v>101</v>
      </c>
      <c r="U7" s="16" t="s">
        <v>66</v>
      </c>
      <c r="V7" s="16" t="s">
        <v>67</v>
      </c>
      <c r="W7" s="16" t="s">
        <v>102</v>
      </c>
    </row>
    <row r="8" customFormat="false" ht="15" hidden="false" customHeight="false" outlineLevel="0" collapsed="false">
      <c r="A8" s="8" t="str">
        <f aca="false">Connections!A6</f>
        <v>Q1</v>
      </c>
      <c r="B8" s="8" t="n">
        <f aca="false">Connections!D6</f>
        <v>1</v>
      </c>
      <c r="C8" s="8" t="n">
        <f aca="false">IF(Connections!E6="","",Connections!E6)</f>
        <v>1</v>
      </c>
      <c r="D8" s="8" t="str">
        <f aca="false">IF(Connections!B6="","",Connections!B6)</f>
        <v/>
      </c>
      <c r="E8" s="4"/>
      <c r="F8" s="4"/>
      <c r="G8" s="4"/>
      <c r="H8" s="23" t="str">
        <f aca="false">IF(G8="","",G8/2)</f>
        <v/>
      </c>
      <c r="I8" s="4"/>
      <c r="J8" s="4"/>
      <c r="K8" s="4"/>
      <c r="L8" s="23" t="str">
        <f aca="false">IF(K8="","",K8/2)</f>
        <v/>
      </c>
      <c r="M8" s="4"/>
      <c r="N8" s="22" t="str">
        <f aca="false">IF(OR(G8="",K8="",$K$2="",$K$3=""),"",(K8-G8)/($K$3-$K$2))</f>
        <v/>
      </c>
      <c r="O8" s="21" t="str">
        <f aca="false">IF(N8="","",IF(N8&lt;=0,"",$K$2-G8/N8))</f>
        <v/>
      </c>
      <c r="P8" s="23" t="str">
        <f aca="false">IF(N8="","",3*N8)</f>
        <v/>
      </c>
      <c r="Q8" s="19" t="str">
        <f aca="false">IF(OR(E8="",G8="",G8=0),"",E8/G8)</f>
        <v/>
      </c>
      <c r="R8" s="21" t="str">
        <f aca="false">IF(OR(O8="",$P$3=""),"",O8-$P$3)</f>
        <v/>
      </c>
      <c r="S8" s="4"/>
      <c r="T8" s="4"/>
      <c r="U8" s="4"/>
      <c r="V8" s="17"/>
      <c r="W8" s="4"/>
    </row>
    <row r="9" customFormat="false" ht="15" hidden="false" customHeight="false" outlineLevel="0" collapsed="false">
      <c r="A9" s="8" t="str">
        <f aca="false">Connections!A7</f>
        <v>Q1</v>
      </c>
      <c r="B9" s="8" t="n">
        <f aca="false">Connections!D7</f>
        <v>2</v>
      </c>
      <c r="C9" s="8" t="n">
        <f aca="false">IF(Connections!E7="","",Connections!E7)</f>
        <v>2</v>
      </c>
      <c r="D9" s="8" t="str">
        <f aca="false">IF(Connections!B7="","",Connections!B7)</f>
        <v/>
      </c>
      <c r="E9" s="4"/>
      <c r="F9" s="4"/>
      <c r="G9" s="4"/>
      <c r="H9" s="23" t="str">
        <f aca="false">IF(G9="","",G9/2)</f>
        <v/>
      </c>
      <c r="I9" s="4"/>
      <c r="J9" s="4"/>
      <c r="K9" s="4"/>
      <c r="L9" s="23" t="str">
        <f aca="false">IF(K9="","",K9/2)</f>
        <v/>
      </c>
      <c r="M9" s="4"/>
      <c r="N9" s="22" t="str">
        <f aca="false">IF(OR(G9="",K9="",$K$2="",$K$3=""),"",(K9-G9)/($K$3-$K$2))</f>
        <v/>
      </c>
      <c r="O9" s="21" t="str">
        <f aca="false">IF(N9="","",IF(N9&lt;=0,"",$K$2-G9/N9))</f>
        <v/>
      </c>
      <c r="P9" s="23" t="str">
        <f aca="false">IF(N9="","",3*N9)</f>
        <v/>
      </c>
      <c r="Q9" s="19" t="str">
        <f aca="false">IF(OR(E9="",G9="",G9=0),"",E9/G9)</f>
        <v/>
      </c>
      <c r="R9" s="21" t="str">
        <f aca="false">IF(OR(O9="",$P$3=""),"",O9-$P$3)</f>
        <v/>
      </c>
      <c r="S9" s="4"/>
      <c r="T9" s="4"/>
      <c r="U9" s="4"/>
      <c r="V9" s="17"/>
      <c r="W9" s="4"/>
    </row>
    <row r="10" customFormat="false" ht="15" hidden="false" customHeight="false" outlineLevel="0" collapsed="false">
      <c r="A10" s="8" t="str">
        <f aca="false">Connections!A8</f>
        <v>Q1</v>
      </c>
      <c r="B10" s="8" t="n">
        <f aca="false">Connections!D8</f>
        <v>3</v>
      </c>
      <c r="C10" s="8" t="n">
        <f aca="false">IF(Connections!E8="","",Connections!E8)</f>
        <v>3</v>
      </c>
      <c r="D10" s="8" t="str">
        <f aca="false">IF(Connections!B8="","",Connections!B8)</f>
        <v/>
      </c>
      <c r="E10" s="4"/>
      <c r="F10" s="4"/>
      <c r="G10" s="4"/>
      <c r="H10" s="23" t="str">
        <f aca="false">IF(G10="","",G10/2)</f>
        <v/>
      </c>
      <c r="I10" s="4"/>
      <c r="J10" s="4"/>
      <c r="K10" s="4"/>
      <c r="L10" s="23" t="str">
        <f aca="false">IF(K10="","",K10/2)</f>
        <v/>
      </c>
      <c r="M10" s="4"/>
      <c r="N10" s="22" t="str">
        <f aca="false">IF(OR(G10="",K10="",$K$2="",$K$3=""),"",(K10-G10)/($K$3-$K$2))</f>
        <v/>
      </c>
      <c r="O10" s="21" t="str">
        <f aca="false">IF(N10="","",IF(N10&lt;=0,"",$K$2-G10/N10))</f>
        <v/>
      </c>
      <c r="P10" s="23" t="str">
        <f aca="false">IF(N10="","",3*N10)</f>
        <v/>
      </c>
      <c r="Q10" s="19" t="str">
        <f aca="false">IF(OR(E10="",G10="",G10=0),"",E10/G10)</f>
        <v/>
      </c>
      <c r="R10" s="21" t="str">
        <f aca="false">IF(OR(O10="",$P$3=""),"",O10-$P$3)</f>
        <v/>
      </c>
      <c r="S10" s="4"/>
      <c r="T10" s="4"/>
      <c r="U10" s="4"/>
      <c r="V10" s="17"/>
      <c r="W10" s="4"/>
    </row>
    <row r="11" customFormat="false" ht="15" hidden="false" customHeight="false" outlineLevel="0" collapsed="false">
      <c r="A11" s="8" t="str">
        <f aca="false">Connections!A9</f>
        <v>Q1</v>
      </c>
      <c r="B11" s="8" t="n">
        <f aca="false">Connections!D9</f>
        <v>4</v>
      </c>
      <c r="C11" s="8" t="n">
        <f aca="false">IF(Connections!E9="","",Connections!E9)</f>
        <v>4</v>
      </c>
      <c r="D11" s="8" t="str">
        <f aca="false">IF(Connections!B9="","",Connections!B9)</f>
        <v/>
      </c>
      <c r="E11" s="4"/>
      <c r="F11" s="4"/>
      <c r="G11" s="4"/>
      <c r="H11" s="23" t="str">
        <f aca="false">IF(G11="","",G11/2)</f>
        <v/>
      </c>
      <c r="I11" s="4"/>
      <c r="J11" s="4"/>
      <c r="K11" s="4"/>
      <c r="L11" s="23" t="str">
        <f aca="false">IF(K11="","",K11/2)</f>
        <v/>
      </c>
      <c r="M11" s="4"/>
      <c r="N11" s="22" t="str">
        <f aca="false">IF(OR(G11="",K11="",$K$2="",$K$3=""),"",(K11-G11)/($K$3-$K$2))</f>
        <v/>
      </c>
      <c r="O11" s="21" t="str">
        <f aca="false">IF(N11="","",IF(N11&lt;=0,"",$K$2-G11/N11))</f>
        <v/>
      </c>
      <c r="P11" s="23" t="str">
        <f aca="false">IF(N11="","",3*N11)</f>
        <v/>
      </c>
      <c r="Q11" s="19" t="str">
        <f aca="false">IF(OR(E11="",G11="",G11=0),"",E11/G11)</f>
        <v/>
      </c>
      <c r="R11" s="21" t="str">
        <f aca="false">IF(OR(O11="",$P$3=""),"",O11-$P$3)</f>
        <v/>
      </c>
      <c r="S11" s="4"/>
      <c r="T11" s="4"/>
      <c r="U11" s="4"/>
      <c r="V11" s="17"/>
      <c r="W11" s="4"/>
    </row>
    <row r="12" customFormat="false" ht="15" hidden="false" customHeight="false" outlineLevel="0" collapsed="false">
      <c r="A12" s="8" t="str">
        <f aca="false">Connections!A10</f>
        <v>Q1</v>
      </c>
      <c r="B12" s="8" t="n">
        <f aca="false">Connections!D10</f>
        <v>5</v>
      </c>
      <c r="C12" s="8" t="n">
        <f aca="false">IF(Connections!E10="","",Connections!E10)</f>
        <v>5</v>
      </c>
      <c r="D12" s="8" t="str">
        <f aca="false">IF(Connections!B10="","",Connections!B10)</f>
        <v/>
      </c>
      <c r="E12" s="4"/>
      <c r="F12" s="4"/>
      <c r="G12" s="4"/>
      <c r="H12" s="23" t="str">
        <f aca="false">IF(G12="","",G12/2)</f>
        <v/>
      </c>
      <c r="I12" s="4"/>
      <c r="J12" s="4"/>
      <c r="K12" s="4"/>
      <c r="L12" s="23" t="str">
        <f aca="false">IF(K12="","",K12/2)</f>
        <v/>
      </c>
      <c r="M12" s="4"/>
      <c r="N12" s="22" t="str">
        <f aca="false">IF(OR(G12="",K12="",$K$2="",$K$3=""),"",(K12-G12)/($K$3-$K$2))</f>
        <v/>
      </c>
      <c r="O12" s="21" t="str">
        <f aca="false">IF(N12="","",IF(N12&lt;=0,"",$K$2-G12/N12))</f>
        <v/>
      </c>
      <c r="P12" s="23" t="str">
        <f aca="false">IF(N12="","",3*N12)</f>
        <v/>
      </c>
      <c r="Q12" s="19" t="str">
        <f aca="false">IF(OR(E12="",G12="",G12=0),"",E12/G12)</f>
        <v/>
      </c>
      <c r="R12" s="21" t="str">
        <f aca="false">IF(OR(O12="",$P$3=""),"",O12-$P$3)</f>
        <v/>
      </c>
      <c r="S12" s="4"/>
      <c r="T12" s="4"/>
      <c r="U12" s="4"/>
      <c r="V12" s="17"/>
      <c r="W12" s="4"/>
    </row>
    <row r="13" customFormat="false" ht="15" hidden="false" customHeight="false" outlineLevel="0" collapsed="false">
      <c r="A13" s="8" t="str">
        <f aca="false">Connections!A11</f>
        <v>Q1</v>
      </c>
      <c r="B13" s="8" t="n">
        <f aca="false">Connections!D11</f>
        <v>6</v>
      </c>
      <c r="C13" s="8" t="n">
        <f aca="false">IF(Connections!E11="","",Connections!E11)</f>
        <v>6</v>
      </c>
      <c r="D13" s="8" t="str">
        <f aca="false">IF(Connections!B11="","",Connections!B11)</f>
        <v/>
      </c>
      <c r="E13" s="4"/>
      <c r="F13" s="4"/>
      <c r="G13" s="4"/>
      <c r="H13" s="23" t="str">
        <f aca="false">IF(G13="","",G13/2)</f>
        <v/>
      </c>
      <c r="I13" s="4"/>
      <c r="J13" s="4"/>
      <c r="K13" s="4"/>
      <c r="L13" s="23" t="str">
        <f aca="false">IF(K13="","",K13/2)</f>
        <v/>
      </c>
      <c r="M13" s="4"/>
      <c r="N13" s="22" t="str">
        <f aca="false">IF(OR(G13="",K13="",$K$2="",$K$3=""),"",(K13-G13)/($K$3-$K$2))</f>
        <v/>
      </c>
      <c r="O13" s="21" t="str">
        <f aca="false">IF(N13="","",IF(N13&lt;=0,"",$K$2-G13/N13))</f>
        <v/>
      </c>
      <c r="P13" s="23" t="str">
        <f aca="false">IF(N13="","",3*N13)</f>
        <v/>
      </c>
      <c r="Q13" s="19" t="str">
        <f aca="false">IF(OR(E13="",G13="",G13=0),"",E13/G13)</f>
        <v/>
      </c>
      <c r="R13" s="21" t="str">
        <f aca="false">IF(OR(O13="",$P$3=""),"",O13-$P$3)</f>
        <v/>
      </c>
      <c r="S13" s="4"/>
      <c r="T13" s="4"/>
      <c r="U13" s="4"/>
      <c r="V13" s="17"/>
      <c r="W13" s="4"/>
    </row>
    <row r="14" customFormat="false" ht="15" hidden="false" customHeight="false" outlineLevel="0" collapsed="false">
      <c r="A14" s="8" t="str">
        <f aca="false">Connections!A12</f>
        <v>Q1</v>
      </c>
      <c r="B14" s="8" t="n">
        <f aca="false">Connections!D12</f>
        <v>7</v>
      </c>
      <c r="C14" s="8" t="n">
        <f aca="false">IF(Connections!E12="","",Connections!E12)</f>
        <v>7</v>
      </c>
      <c r="D14" s="8" t="str">
        <f aca="false">IF(Connections!B12="","",Connections!B12)</f>
        <v/>
      </c>
      <c r="E14" s="4"/>
      <c r="F14" s="4"/>
      <c r="G14" s="4"/>
      <c r="H14" s="23" t="str">
        <f aca="false">IF(G14="","",G14/2)</f>
        <v/>
      </c>
      <c r="I14" s="4"/>
      <c r="J14" s="4"/>
      <c r="K14" s="4"/>
      <c r="L14" s="23" t="str">
        <f aca="false">IF(K14="","",K14/2)</f>
        <v/>
      </c>
      <c r="M14" s="4"/>
      <c r="N14" s="22" t="str">
        <f aca="false">IF(OR(G14="",K14="",$K$2="",$K$3=""),"",(K14-G14)/($K$3-$K$2))</f>
        <v/>
      </c>
      <c r="O14" s="21" t="str">
        <f aca="false">IF(N14="","",IF(N14&lt;=0,"",$K$2-G14/N14))</f>
        <v/>
      </c>
      <c r="P14" s="23" t="str">
        <f aca="false">IF(N14="","",3*N14)</f>
        <v/>
      </c>
      <c r="Q14" s="19" t="str">
        <f aca="false">IF(OR(E14="",G14="",G14=0),"",E14/G14)</f>
        <v/>
      </c>
      <c r="R14" s="21" t="str">
        <f aca="false">IF(OR(O14="",$P$3=""),"",O14-$P$3)</f>
        <v/>
      </c>
      <c r="S14" s="4"/>
      <c r="T14" s="4"/>
      <c r="U14" s="4"/>
      <c r="V14" s="17"/>
      <c r="W14" s="4"/>
    </row>
    <row r="15" customFormat="false" ht="15" hidden="false" customHeight="false" outlineLevel="0" collapsed="false">
      <c r="A15" s="8" t="str">
        <f aca="false">Connections!A13</f>
        <v>Q1</v>
      </c>
      <c r="B15" s="8" t="n">
        <f aca="false">Connections!D13</f>
        <v>8</v>
      </c>
      <c r="C15" s="8" t="n">
        <f aca="false">IF(Connections!E13="","",Connections!E13)</f>
        <v>8</v>
      </c>
      <c r="D15" s="8" t="str">
        <f aca="false">IF(Connections!B13="","",Connections!B13)</f>
        <v/>
      </c>
      <c r="E15" s="4"/>
      <c r="F15" s="4"/>
      <c r="G15" s="4"/>
      <c r="H15" s="23" t="str">
        <f aca="false">IF(G15="","",G15/2)</f>
        <v/>
      </c>
      <c r="I15" s="4"/>
      <c r="J15" s="4"/>
      <c r="K15" s="4"/>
      <c r="L15" s="23" t="str">
        <f aca="false">IF(K15="","",K15/2)</f>
        <v/>
      </c>
      <c r="M15" s="4"/>
      <c r="N15" s="22" t="str">
        <f aca="false">IF(OR(G15="",K15="",$K$2="",$K$3=""),"",(K15-G15)/($K$3-$K$2))</f>
        <v/>
      </c>
      <c r="O15" s="21" t="str">
        <f aca="false">IF(N15="","",IF(N15&lt;=0,"",$K$2-G15/N15))</f>
        <v/>
      </c>
      <c r="P15" s="23" t="str">
        <f aca="false">IF(N15="","",3*N15)</f>
        <v/>
      </c>
      <c r="Q15" s="19" t="str">
        <f aca="false">IF(OR(E15="",G15="",G15=0),"",E15/G15)</f>
        <v/>
      </c>
      <c r="R15" s="21" t="str">
        <f aca="false">IF(OR(O15="",$P$3=""),"",O15-$P$3)</f>
        <v/>
      </c>
      <c r="S15" s="4"/>
      <c r="T15" s="4"/>
      <c r="U15" s="4"/>
      <c r="V15" s="17"/>
      <c r="W15" s="4"/>
    </row>
    <row r="16" customFormat="false" ht="15" hidden="false" customHeight="false" outlineLevel="0" collapsed="false">
      <c r="A16" s="8" t="str">
        <f aca="false">Connections!A14</f>
        <v>Q1</v>
      </c>
      <c r="B16" s="8" t="n">
        <f aca="false">Connections!D14</f>
        <v>9</v>
      </c>
      <c r="C16" s="8" t="n">
        <f aca="false">IF(Connections!E14="","",Connections!E14)</f>
        <v>9</v>
      </c>
      <c r="D16" s="8" t="str">
        <f aca="false">IF(Connections!B14="","",Connections!B14)</f>
        <v/>
      </c>
      <c r="E16" s="4"/>
      <c r="F16" s="4"/>
      <c r="G16" s="4"/>
      <c r="H16" s="23" t="str">
        <f aca="false">IF(G16="","",G16/2)</f>
        <v/>
      </c>
      <c r="I16" s="4"/>
      <c r="J16" s="4"/>
      <c r="K16" s="4"/>
      <c r="L16" s="23" t="str">
        <f aca="false">IF(K16="","",K16/2)</f>
        <v/>
      </c>
      <c r="M16" s="4"/>
      <c r="N16" s="22" t="str">
        <f aca="false">IF(OR(G16="",K16="",$K$2="",$K$3=""),"",(K16-G16)/($K$3-$K$2))</f>
        <v/>
      </c>
      <c r="O16" s="21" t="str">
        <f aca="false">IF(N16="","",IF(N16&lt;=0,"",$K$2-G16/N16))</f>
        <v/>
      </c>
      <c r="P16" s="23" t="str">
        <f aca="false">IF(N16="","",3*N16)</f>
        <v/>
      </c>
      <c r="Q16" s="19" t="str">
        <f aca="false">IF(OR(E16="",G16="",G16=0),"",E16/G16)</f>
        <v/>
      </c>
      <c r="R16" s="21" t="str">
        <f aca="false">IF(OR(O16="",$P$3=""),"",O16-$P$3)</f>
        <v/>
      </c>
      <c r="S16" s="4"/>
      <c r="T16" s="4"/>
      <c r="U16" s="4"/>
      <c r="V16" s="17"/>
      <c r="W16" s="4"/>
    </row>
    <row r="17" customFormat="false" ht="15" hidden="false" customHeight="false" outlineLevel="0" collapsed="false">
      <c r="A17" s="8" t="str">
        <f aca="false">Connections!A15</f>
        <v>Q1</v>
      </c>
      <c r="B17" s="8" t="n">
        <f aca="false">Connections!D15</f>
        <v>10</v>
      </c>
      <c r="C17" s="8" t="n">
        <f aca="false">IF(Connections!E15="","",Connections!E15)</f>
        <v>10</v>
      </c>
      <c r="D17" s="8" t="str">
        <f aca="false">IF(Connections!B15="","",Connections!B15)</f>
        <v/>
      </c>
      <c r="E17" s="4"/>
      <c r="F17" s="4"/>
      <c r="G17" s="4"/>
      <c r="H17" s="23" t="str">
        <f aca="false">IF(G17="","",G17/2)</f>
        <v/>
      </c>
      <c r="I17" s="4"/>
      <c r="J17" s="4"/>
      <c r="K17" s="4"/>
      <c r="L17" s="23" t="str">
        <f aca="false">IF(K17="","",K17/2)</f>
        <v/>
      </c>
      <c r="M17" s="4"/>
      <c r="N17" s="22" t="str">
        <f aca="false">IF(OR(G17="",K17="",$K$2="",$K$3=""),"",(K17-G17)/($K$3-$K$2))</f>
        <v/>
      </c>
      <c r="O17" s="21" t="str">
        <f aca="false">IF(N17="","",IF(N17&lt;=0,"",$K$2-G17/N17))</f>
        <v/>
      </c>
      <c r="P17" s="23" t="str">
        <f aca="false">IF(N17="","",3*N17)</f>
        <v/>
      </c>
      <c r="Q17" s="19" t="str">
        <f aca="false">IF(OR(E17="",G17="",G17=0),"",E17/G17)</f>
        <v/>
      </c>
      <c r="R17" s="21" t="str">
        <f aca="false">IF(OR(O17="",$P$3=""),"",O17-$P$3)</f>
        <v/>
      </c>
      <c r="S17" s="4"/>
      <c r="T17" s="4"/>
      <c r="U17" s="4"/>
      <c r="V17" s="17"/>
      <c r="W17" s="4"/>
    </row>
    <row r="18" customFormat="false" ht="15" hidden="false" customHeight="false" outlineLevel="0" collapsed="false">
      <c r="A18" s="8" t="str">
        <f aca="false">Connections!A16</f>
        <v>Q1</v>
      </c>
      <c r="B18" s="8" t="n">
        <f aca="false">Connections!D16</f>
        <v>11</v>
      </c>
      <c r="C18" s="8" t="n">
        <f aca="false">IF(Connections!E16="","",Connections!E16)</f>
        <v>11</v>
      </c>
      <c r="D18" s="8" t="str">
        <f aca="false">IF(Connections!B16="","",Connections!B16)</f>
        <v/>
      </c>
      <c r="E18" s="4"/>
      <c r="F18" s="4"/>
      <c r="G18" s="4"/>
      <c r="H18" s="23" t="str">
        <f aca="false">IF(G18="","",G18/2)</f>
        <v/>
      </c>
      <c r="I18" s="4"/>
      <c r="J18" s="4"/>
      <c r="K18" s="4"/>
      <c r="L18" s="23" t="str">
        <f aca="false">IF(K18="","",K18/2)</f>
        <v/>
      </c>
      <c r="M18" s="4"/>
      <c r="N18" s="22" t="str">
        <f aca="false">IF(OR(G18="",K18="",$K$2="",$K$3=""),"",(K18-G18)/($K$3-$K$2))</f>
        <v/>
      </c>
      <c r="O18" s="21" t="str">
        <f aca="false">IF(N18="","",IF(N18&lt;=0,"",$K$2-G18/N18))</f>
        <v/>
      </c>
      <c r="P18" s="23" t="str">
        <f aca="false">IF(N18="","",3*N18)</f>
        <v/>
      </c>
      <c r="Q18" s="19" t="str">
        <f aca="false">IF(OR(E18="",G18="",G18=0),"",E18/G18)</f>
        <v/>
      </c>
      <c r="R18" s="21" t="str">
        <f aca="false">IF(OR(O18="",$P$3=""),"",O18-$P$3)</f>
        <v/>
      </c>
      <c r="S18" s="4"/>
      <c r="T18" s="4"/>
      <c r="U18" s="4"/>
      <c r="V18" s="17"/>
      <c r="W18" s="4"/>
    </row>
    <row r="19" customFormat="false" ht="15" hidden="false" customHeight="false" outlineLevel="0" collapsed="false">
      <c r="A19" s="8" t="str">
        <f aca="false">Connections!A17</f>
        <v>Q1</v>
      </c>
      <c r="B19" s="8" t="n">
        <f aca="false">Connections!D17</f>
        <v>12</v>
      </c>
      <c r="C19" s="8" t="n">
        <f aca="false">IF(Connections!E17="","",Connections!E17)</f>
        <v>12</v>
      </c>
      <c r="D19" s="8" t="str">
        <f aca="false">IF(Connections!B17="","",Connections!B17)</f>
        <v/>
      </c>
      <c r="E19" s="4"/>
      <c r="F19" s="4"/>
      <c r="G19" s="4"/>
      <c r="H19" s="23" t="str">
        <f aca="false">IF(G19="","",G19/2)</f>
        <v/>
      </c>
      <c r="I19" s="4"/>
      <c r="J19" s="4"/>
      <c r="K19" s="4"/>
      <c r="L19" s="23" t="str">
        <f aca="false">IF(K19="","",K19/2)</f>
        <v/>
      </c>
      <c r="M19" s="4"/>
      <c r="N19" s="22" t="str">
        <f aca="false">IF(OR(G19="",K19="",$K$2="",$K$3=""),"",(K19-G19)/($K$3-$K$2))</f>
        <v/>
      </c>
      <c r="O19" s="21" t="str">
        <f aca="false">IF(N19="","",IF(N19&lt;=0,"",$K$2-G19/N19))</f>
        <v/>
      </c>
      <c r="P19" s="23" t="str">
        <f aca="false">IF(N19="","",3*N19)</f>
        <v/>
      </c>
      <c r="Q19" s="19" t="str">
        <f aca="false">IF(OR(E19="",G19="",G19=0),"",E19/G19)</f>
        <v/>
      </c>
      <c r="R19" s="21" t="str">
        <f aca="false">IF(OR(O19="",$P$3=""),"",O19-$P$3)</f>
        <v/>
      </c>
      <c r="S19" s="4"/>
      <c r="T19" s="4"/>
      <c r="U19" s="4"/>
      <c r="V19" s="17"/>
      <c r="W19" s="4"/>
    </row>
    <row r="20" customFormat="false" ht="15" hidden="false" customHeight="false" outlineLevel="0" collapsed="false">
      <c r="A20" s="8" t="str">
        <f aca="false">Connections!A18</f>
        <v>Q1</v>
      </c>
      <c r="B20" s="8" t="n">
        <f aca="false">Connections!D18</f>
        <v>13</v>
      </c>
      <c r="C20" s="8" t="n">
        <f aca="false">IF(Connections!E18="","",Connections!E18)</f>
        <v>13</v>
      </c>
      <c r="D20" s="8" t="str">
        <f aca="false">IF(Connections!B18="","",Connections!B18)</f>
        <v/>
      </c>
      <c r="E20" s="4"/>
      <c r="F20" s="4"/>
      <c r="G20" s="4"/>
      <c r="H20" s="23" t="str">
        <f aca="false">IF(G20="","",G20/2)</f>
        <v/>
      </c>
      <c r="I20" s="4"/>
      <c r="J20" s="4"/>
      <c r="K20" s="4"/>
      <c r="L20" s="23" t="str">
        <f aca="false">IF(K20="","",K20/2)</f>
        <v/>
      </c>
      <c r="M20" s="4"/>
      <c r="N20" s="22" t="str">
        <f aca="false">IF(OR(G20="",K20="",$K$2="",$K$3=""),"",(K20-G20)/($K$3-$K$2))</f>
        <v/>
      </c>
      <c r="O20" s="21" t="str">
        <f aca="false">IF(N20="","",IF(N20&lt;=0,"",$K$2-G20/N20))</f>
        <v/>
      </c>
      <c r="P20" s="23" t="str">
        <f aca="false">IF(N20="","",3*N20)</f>
        <v/>
      </c>
      <c r="Q20" s="19" t="str">
        <f aca="false">IF(OR(E20="",G20="",G20=0),"",E20/G20)</f>
        <v/>
      </c>
      <c r="R20" s="21" t="str">
        <f aca="false">IF(OR(O20="",$P$3=""),"",O20-$P$3)</f>
        <v/>
      </c>
      <c r="S20" s="4"/>
      <c r="T20" s="4"/>
      <c r="U20" s="4"/>
      <c r="V20" s="17"/>
      <c r="W20" s="4"/>
    </row>
    <row r="21" customFormat="false" ht="15" hidden="false" customHeight="false" outlineLevel="0" collapsed="false">
      <c r="A21" s="8" t="str">
        <f aca="false">Connections!A19</f>
        <v>Q1</v>
      </c>
      <c r="B21" s="8" t="n">
        <f aca="false">Connections!D19</f>
        <v>14</v>
      </c>
      <c r="C21" s="8" t="n">
        <f aca="false">IF(Connections!E19="","",Connections!E19)</f>
        <v>14</v>
      </c>
      <c r="D21" s="8" t="str">
        <f aca="false">IF(Connections!B19="","",Connections!B19)</f>
        <v/>
      </c>
      <c r="E21" s="4"/>
      <c r="F21" s="4"/>
      <c r="G21" s="4"/>
      <c r="H21" s="23" t="str">
        <f aca="false">IF(G21="","",G21/2)</f>
        <v/>
      </c>
      <c r="I21" s="4"/>
      <c r="J21" s="4"/>
      <c r="K21" s="4"/>
      <c r="L21" s="23" t="str">
        <f aca="false">IF(K21="","",K21/2)</f>
        <v/>
      </c>
      <c r="M21" s="4"/>
      <c r="N21" s="22" t="str">
        <f aca="false">IF(OR(G21="",K21="",$K$2="",$K$3=""),"",(K21-G21)/($K$3-$K$2))</f>
        <v/>
      </c>
      <c r="O21" s="21" t="str">
        <f aca="false">IF(N21="","",IF(N21&lt;=0,"",$K$2-G21/N21))</f>
        <v/>
      </c>
      <c r="P21" s="23" t="str">
        <f aca="false">IF(N21="","",3*N21)</f>
        <v/>
      </c>
      <c r="Q21" s="19" t="str">
        <f aca="false">IF(OR(E21="",G21="",G21=0),"",E21/G21)</f>
        <v/>
      </c>
      <c r="R21" s="21" t="str">
        <f aca="false">IF(OR(O21="",$P$3=""),"",O21-$P$3)</f>
        <v/>
      </c>
      <c r="S21" s="4"/>
      <c r="T21" s="4"/>
      <c r="U21" s="4"/>
      <c r="V21" s="17"/>
      <c r="W21" s="4"/>
    </row>
    <row r="22" customFormat="false" ht="15" hidden="false" customHeight="false" outlineLevel="0" collapsed="false">
      <c r="A22" s="8" t="str">
        <f aca="false">Connections!A20</f>
        <v>Q1</v>
      </c>
      <c r="B22" s="8" t="n">
        <f aca="false">Connections!D20</f>
        <v>15</v>
      </c>
      <c r="C22" s="8" t="n">
        <f aca="false">IF(Connections!E20="","",Connections!E20)</f>
        <v>15</v>
      </c>
      <c r="D22" s="8" t="str">
        <f aca="false">IF(Connections!B20="","",Connections!B20)</f>
        <v/>
      </c>
      <c r="E22" s="4"/>
      <c r="F22" s="4"/>
      <c r="G22" s="4"/>
      <c r="H22" s="23" t="str">
        <f aca="false">IF(G22="","",G22/2)</f>
        <v/>
      </c>
      <c r="I22" s="4"/>
      <c r="J22" s="4"/>
      <c r="K22" s="4"/>
      <c r="L22" s="23" t="str">
        <f aca="false">IF(K22="","",K22/2)</f>
        <v/>
      </c>
      <c r="M22" s="4"/>
      <c r="N22" s="22" t="str">
        <f aca="false">IF(OR(G22="",K22="",$K$2="",$K$3=""),"",(K22-G22)/($K$3-$K$2))</f>
        <v/>
      </c>
      <c r="O22" s="21" t="str">
        <f aca="false">IF(N22="","",IF(N22&lt;=0,"",$K$2-G22/N22))</f>
        <v/>
      </c>
      <c r="P22" s="23" t="str">
        <f aca="false">IF(N22="","",3*N22)</f>
        <v/>
      </c>
      <c r="Q22" s="19" t="str">
        <f aca="false">IF(OR(E22="",G22="",G22=0),"",E22/G22)</f>
        <v/>
      </c>
      <c r="R22" s="21" t="str">
        <f aca="false">IF(OR(O22="",$P$3=""),"",O22-$P$3)</f>
        <v/>
      </c>
      <c r="S22" s="4"/>
      <c r="T22" s="4"/>
      <c r="U22" s="4"/>
      <c r="V22" s="17"/>
      <c r="W22" s="4"/>
    </row>
    <row r="23" customFormat="false" ht="15" hidden="false" customHeight="false" outlineLevel="0" collapsed="false">
      <c r="A23" s="8" t="str">
        <f aca="false">Connections!A21</f>
        <v>Q1</v>
      </c>
      <c r="B23" s="8" t="n">
        <f aca="false">Connections!D21</f>
        <v>16</v>
      </c>
      <c r="C23" s="8" t="n">
        <f aca="false">IF(Connections!E21="","",Connections!E21)</f>
        <v>16</v>
      </c>
      <c r="D23" s="8" t="str">
        <f aca="false">IF(Connections!B21="","",Connections!B21)</f>
        <v/>
      </c>
      <c r="E23" s="4"/>
      <c r="F23" s="4"/>
      <c r="G23" s="4"/>
      <c r="H23" s="23" t="str">
        <f aca="false">IF(G23="","",G23/2)</f>
        <v/>
      </c>
      <c r="I23" s="4"/>
      <c r="J23" s="4"/>
      <c r="K23" s="4"/>
      <c r="L23" s="23" t="str">
        <f aca="false">IF(K23="","",K23/2)</f>
        <v/>
      </c>
      <c r="M23" s="4"/>
      <c r="N23" s="22" t="str">
        <f aca="false">IF(OR(G23="",K23="",$K$2="",$K$3=""),"",(K23-G23)/($K$3-$K$2))</f>
        <v/>
      </c>
      <c r="O23" s="21" t="str">
        <f aca="false">IF(N23="","",IF(N23&lt;=0,"",$K$2-G23/N23))</f>
        <v/>
      </c>
      <c r="P23" s="23" t="str">
        <f aca="false">IF(N23="","",3*N23)</f>
        <v/>
      </c>
      <c r="Q23" s="19" t="str">
        <f aca="false">IF(OR(E23="",G23="",G23=0),"",E23/G23)</f>
        <v/>
      </c>
      <c r="R23" s="21" t="str">
        <f aca="false">IF(OR(O23="",$P$3=""),"",O23-$P$3)</f>
        <v/>
      </c>
      <c r="S23" s="4"/>
      <c r="T23" s="4"/>
      <c r="U23" s="4"/>
      <c r="V23" s="17"/>
      <c r="W23" s="4"/>
    </row>
    <row r="24" customFormat="false" ht="15" hidden="false" customHeight="false" outlineLevel="0" collapsed="false">
      <c r="A24" s="8" t="str">
        <f aca="false">Connections!A22</f>
        <v>Q1</v>
      </c>
      <c r="B24" s="8" t="n">
        <f aca="false">Connections!D22</f>
        <v>23</v>
      </c>
      <c r="C24" s="8" t="n">
        <f aca="false">IF(Connections!E22="","",Connections!E22)</f>
        <v>23</v>
      </c>
      <c r="D24" s="8" t="str">
        <f aca="false">IF(Connections!B22="","",Connections!B22)</f>
        <v/>
      </c>
      <c r="E24" s="4"/>
      <c r="F24" s="4"/>
      <c r="G24" s="4"/>
      <c r="H24" s="23" t="str">
        <f aca="false">IF(G24="","",G24/2)</f>
        <v/>
      </c>
      <c r="I24" s="4"/>
      <c r="J24" s="4"/>
      <c r="K24" s="4"/>
      <c r="L24" s="23" t="str">
        <f aca="false">IF(K24="","",K24/2)</f>
        <v/>
      </c>
      <c r="M24" s="4"/>
      <c r="N24" s="22" t="str">
        <f aca="false">IF(OR(G24="",K24="",$K$2="",$K$3=""),"",(K24-G24)/($K$3-$K$2))</f>
        <v/>
      </c>
      <c r="O24" s="21" t="str">
        <f aca="false">IF(N24="","",IF(N24&lt;=0,"",$K$2-G24/N24))</f>
        <v/>
      </c>
      <c r="P24" s="23" t="str">
        <f aca="false">IF(N24="","",3*N24)</f>
        <v/>
      </c>
      <c r="Q24" s="19" t="str">
        <f aca="false">IF(OR(E24="",G24="",G24=0),"",E24/G24)</f>
        <v/>
      </c>
      <c r="R24" s="21" t="str">
        <f aca="false">IF(OR(O24="",$P$3=""),"",O24-$P$3)</f>
        <v/>
      </c>
      <c r="S24" s="4"/>
      <c r="T24" s="4"/>
      <c r="U24" s="4"/>
      <c r="V24" s="17"/>
      <c r="W24" s="4"/>
    </row>
    <row r="25" customFormat="false" ht="15" hidden="false" customHeight="false" outlineLevel="0" collapsed="false">
      <c r="A25" s="8" t="str">
        <f aca="false">Connections!A23</f>
        <v>Q1</v>
      </c>
      <c r="B25" s="8" t="n">
        <f aca="false">Connections!D23</f>
        <v>24</v>
      </c>
      <c r="C25" s="8" t="n">
        <f aca="false">IF(Connections!E23="","",Connections!E23)</f>
        <v>24</v>
      </c>
      <c r="D25" s="8" t="str">
        <f aca="false">IF(Connections!B23="","",Connections!B23)</f>
        <v/>
      </c>
      <c r="E25" s="4"/>
      <c r="F25" s="4"/>
      <c r="G25" s="4"/>
      <c r="H25" s="23" t="str">
        <f aca="false">IF(G25="","",G25/2)</f>
        <v/>
      </c>
      <c r="I25" s="4"/>
      <c r="J25" s="4"/>
      <c r="K25" s="4"/>
      <c r="L25" s="23" t="str">
        <f aca="false">IF(K25="","",K25/2)</f>
        <v/>
      </c>
      <c r="M25" s="4"/>
      <c r="N25" s="22" t="str">
        <f aca="false">IF(OR(G25="",K25="",$K$2="",$K$3=""),"",(K25-G25)/($K$3-$K$2))</f>
        <v/>
      </c>
      <c r="O25" s="21" t="str">
        <f aca="false">IF(N25="","",IF(N25&lt;=0,"",$K$2-G25/N25))</f>
        <v/>
      </c>
      <c r="P25" s="23" t="str">
        <f aca="false">IF(N25="","",3*N25)</f>
        <v/>
      </c>
      <c r="Q25" s="19" t="str">
        <f aca="false">IF(OR(E25="",G25="",G25=0),"",E25/G25)</f>
        <v/>
      </c>
      <c r="R25" s="21" t="str">
        <f aca="false">IF(OR(O25="",$P$3=""),"",O25-$P$3)</f>
        <v/>
      </c>
      <c r="S25" s="4"/>
      <c r="T25" s="4"/>
      <c r="U25" s="4"/>
      <c r="V25" s="17"/>
      <c r="W25" s="4"/>
    </row>
    <row r="26" customFormat="false" ht="15" hidden="false" customHeight="false" outlineLevel="0" collapsed="false">
      <c r="A26" s="8" t="str">
        <f aca="false">Connections!A24</f>
        <v>Q1</v>
      </c>
      <c r="B26" s="8" t="n">
        <f aca="false">Connections!D24</f>
        <v>25</v>
      </c>
      <c r="C26" s="8" t="n">
        <f aca="false">IF(Connections!E24="","",Connections!E24)</f>
        <v>25</v>
      </c>
      <c r="D26" s="8" t="str">
        <f aca="false">IF(Connections!B24="","",Connections!B24)</f>
        <v/>
      </c>
      <c r="E26" s="4"/>
      <c r="F26" s="4"/>
      <c r="G26" s="4"/>
      <c r="H26" s="23" t="str">
        <f aca="false">IF(G26="","",G26/2)</f>
        <v/>
      </c>
      <c r="I26" s="4"/>
      <c r="J26" s="4"/>
      <c r="K26" s="4"/>
      <c r="L26" s="23" t="str">
        <f aca="false">IF(K26="","",K26/2)</f>
        <v/>
      </c>
      <c r="M26" s="4"/>
      <c r="N26" s="22" t="str">
        <f aca="false">IF(OR(G26="",K26="",$K$2="",$K$3=""),"",(K26-G26)/($K$3-$K$2))</f>
        <v/>
      </c>
      <c r="O26" s="21" t="str">
        <f aca="false">IF(N26="","",IF(N26&lt;=0,"",$K$2-G26/N26))</f>
        <v/>
      </c>
      <c r="P26" s="23" t="str">
        <f aca="false">IF(N26="","",3*N26)</f>
        <v/>
      </c>
      <c r="Q26" s="19" t="str">
        <f aca="false">IF(OR(E26="",G26="",G26=0),"",E26/G26)</f>
        <v/>
      </c>
      <c r="R26" s="21" t="str">
        <f aca="false">IF(OR(O26="",$P$3=""),"",O26-$P$3)</f>
        <v/>
      </c>
      <c r="S26" s="4"/>
      <c r="T26" s="4"/>
      <c r="U26" s="4"/>
      <c r="V26" s="17"/>
      <c r="W26" s="4"/>
    </row>
    <row r="27" customFormat="false" ht="15" hidden="false" customHeight="false" outlineLevel="0" collapsed="false">
      <c r="A27" s="8" t="str">
        <f aca="false">Connections!A25</f>
        <v>Q1</v>
      </c>
      <c r="B27" s="8" t="n">
        <f aca="false">Connections!D25</f>
        <v>26</v>
      </c>
      <c r="C27" s="8" t="n">
        <f aca="false">IF(Connections!E25="","",Connections!E25)</f>
        <v>26</v>
      </c>
      <c r="D27" s="8" t="str">
        <f aca="false">IF(Connections!B25="","",Connections!B25)</f>
        <v/>
      </c>
      <c r="E27" s="4"/>
      <c r="F27" s="4"/>
      <c r="G27" s="4"/>
      <c r="H27" s="23" t="str">
        <f aca="false">IF(G27="","",G27/2)</f>
        <v/>
      </c>
      <c r="I27" s="4"/>
      <c r="J27" s="4"/>
      <c r="K27" s="4"/>
      <c r="L27" s="23" t="str">
        <f aca="false">IF(K27="","",K27/2)</f>
        <v/>
      </c>
      <c r="M27" s="4"/>
      <c r="N27" s="22" t="str">
        <f aca="false">IF(OR(G27="",K27="",$K$2="",$K$3=""),"",(K27-G27)/($K$3-$K$2))</f>
        <v/>
      </c>
      <c r="O27" s="21" t="str">
        <f aca="false">IF(N27="","",IF(N27&lt;=0,"",$K$2-G27/N27))</f>
        <v/>
      </c>
      <c r="P27" s="23" t="str">
        <f aca="false">IF(N27="","",3*N27)</f>
        <v/>
      </c>
      <c r="Q27" s="19" t="str">
        <f aca="false">IF(OR(E27="",G27="",G27=0),"",E27/G27)</f>
        <v/>
      </c>
      <c r="R27" s="21" t="str">
        <f aca="false">IF(OR(O27="",$P$3=""),"",O27-$P$3)</f>
        <v/>
      </c>
      <c r="S27" s="4"/>
      <c r="T27" s="4"/>
      <c r="U27" s="4"/>
      <c r="V27" s="17"/>
      <c r="W27" s="4"/>
    </row>
    <row r="28" customFormat="false" ht="15" hidden="false" customHeight="false" outlineLevel="0" collapsed="false">
      <c r="A28" s="8" t="str">
        <f aca="false">Connections!A26</f>
        <v>Q1</v>
      </c>
      <c r="B28" s="8" t="n">
        <f aca="false">Connections!D26</f>
        <v>27</v>
      </c>
      <c r="C28" s="8" t="n">
        <f aca="false">IF(Connections!E26="","",Connections!E26)</f>
        <v>27</v>
      </c>
      <c r="D28" s="8" t="str">
        <f aca="false">IF(Connections!B26="","",Connections!B26)</f>
        <v/>
      </c>
      <c r="E28" s="4"/>
      <c r="F28" s="4"/>
      <c r="G28" s="4"/>
      <c r="H28" s="23" t="str">
        <f aca="false">IF(G28="","",G28/2)</f>
        <v/>
      </c>
      <c r="I28" s="4"/>
      <c r="J28" s="4"/>
      <c r="K28" s="4"/>
      <c r="L28" s="23" t="str">
        <f aca="false">IF(K28="","",K28/2)</f>
        <v/>
      </c>
      <c r="M28" s="4"/>
      <c r="N28" s="22" t="str">
        <f aca="false">IF(OR(G28="",K28="",$K$2="",$K$3=""),"",(K28-G28)/($K$3-$K$2))</f>
        <v/>
      </c>
      <c r="O28" s="21" t="str">
        <f aca="false">IF(N28="","",IF(N28&lt;=0,"",$K$2-G28/N28))</f>
        <v/>
      </c>
      <c r="P28" s="23" t="str">
        <f aca="false">IF(N28="","",3*N28)</f>
        <v/>
      </c>
      <c r="Q28" s="19" t="str">
        <f aca="false">IF(OR(E28="",G28="",G28=0),"",E28/G28)</f>
        <v/>
      </c>
      <c r="R28" s="21" t="str">
        <f aca="false">IF(OR(O28="",$P$3=""),"",O28-$P$3)</f>
        <v/>
      </c>
      <c r="S28" s="4"/>
      <c r="T28" s="4"/>
      <c r="U28" s="4"/>
      <c r="V28" s="17"/>
      <c r="W28" s="4"/>
    </row>
    <row r="29" customFormat="false" ht="15" hidden="false" customHeight="false" outlineLevel="0" collapsed="false">
      <c r="A29" s="8" t="str">
        <f aca="false">Connections!A27</f>
        <v>Q1</v>
      </c>
      <c r="B29" s="8" t="n">
        <f aca="false">Connections!D27</f>
        <v>28</v>
      </c>
      <c r="C29" s="8" t="n">
        <f aca="false">IF(Connections!E27="","",Connections!E27)</f>
        <v>28</v>
      </c>
      <c r="D29" s="8" t="str">
        <f aca="false">IF(Connections!B27="","",Connections!B27)</f>
        <v/>
      </c>
      <c r="E29" s="4"/>
      <c r="F29" s="4"/>
      <c r="G29" s="4"/>
      <c r="H29" s="23" t="str">
        <f aca="false">IF(G29="","",G29/2)</f>
        <v/>
      </c>
      <c r="I29" s="4"/>
      <c r="J29" s="4"/>
      <c r="K29" s="4"/>
      <c r="L29" s="23" t="str">
        <f aca="false">IF(K29="","",K29/2)</f>
        <v/>
      </c>
      <c r="M29" s="4"/>
      <c r="N29" s="22" t="str">
        <f aca="false">IF(OR(G29="",K29="",$K$2="",$K$3=""),"",(K29-G29)/($K$3-$K$2))</f>
        <v/>
      </c>
      <c r="O29" s="21" t="str">
        <f aca="false">IF(N29="","",IF(N29&lt;=0,"",$K$2-G29/N29))</f>
        <v/>
      </c>
      <c r="P29" s="23" t="str">
        <f aca="false">IF(N29="","",3*N29)</f>
        <v/>
      </c>
      <c r="Q29" s="19" t="str">
        <f aca="false">IF(OR(E29="",G29="",G29=0),"",E29/G29)</f>
        <v/>
      </c>
      <c r="R29" s="21" t="str">
        <f aca="false">IF(OR(O29="",$P$3=""),"",O29-$P$3)</f>
        <v/>
      </c>
      <c r="S29" s="4"/>
      <c r="T29" s="4"/>
      <c r="U29" s="4"/>
      <c r="V29" s="17"/>
      <c r="W29" s="4"/>
    </row>
    <row r="30" customFormat="false" ht="15" hidden="false" customHeight="false" outlineLevel="0" collapsed="false">
      <c r="A30" s="8" t="str">
        <f aca="false">Connections!A28</f>
        <v>Q1</v>
      </c>
      <c r="B30" s="8" t="n">
        <f aca="false">Connections!D28</f>
        <v>29</v>
      </c>
      <c r="C30" s="8" t="n">
        <f aca="false">IF(Connections!E28="","",Connections!E28)</f>
        <v>29</v>
      </c>
      <c r="D30" s="8" t="str">
        <f aca="false">IF(Connections!B28="","",Connections!B28)</f>
        <v/>
      </c>
      <c r="E30" s="4"/>
      <c r="F30" s="4"/>
      <c r="G30" s="4"/>
      <c r="H30" s="23" t="str">
        <f aca="false">IF(G30="","",G30/2)</f>
        <v/>
      </c>
      <c r="I30" s="4"/>
      <c r="J30" s="4"/>
      <c r="K30" s="4"/>
      <c r="L30" s="23" t="str">
        <f aca="false">IF(K30="","",K30/2)</f>
        <v/>
      </c>
      <c r="M30" s="4"/>
      <c r="N30" s="22" t="str">
        <f aca="false">IF(OR(G30="",K30="",$K$2="",$K$3=""),"",(K30-G30)/($K$3-$K$2))</f>
        <v/>
      </c>
      <c r="O30" s="21" t="str">
        <f aca="false">IF(N30="","",IF(N30&lt;=0,"",$K$2-G30/N30))</f>
        <v/>
      </c>
      <c r="P30" s="23" t="str">
        <f aca="false">IF(N30="","",3*N30)</f>
        <v/>
      </c>
      <c r="Q30" s="19" t="str">
        <f aca="false">IF(OR(E30="",G30="",G30=0),"",E30/G30)</f>
        <v/>
      </c>
      <c r="R30" s="21" t="str">
        <f aca="false">IF(OR(O30="",$P$3=""),"",O30-$P$3)</f>
        <v/>
      </c>
      <c r="S30" s="4"/>
      <c r="T30" s="4"/>
      <c r="U30" s="4"/>
      <c r="V30" s="17"/>
      <c r="W30" s="4"/>
    </row>
    <row r="31" customFormat="false" ht="15" hidden="false" customHeight="false" outlineLevel="0" collapsed="false">
      <c r="A31" s="8" t="str">
        <f aca="false">Connections!A29</f>
        <v>Q1</v>
      </c>
      <c r="B31" s="8" t="n">
        <f aca="false">Connections!D29</f>
        <v>30</v>
      </c>
      <c r="C31" s="8" t="n">
        <f aca="false">IF(Connections!E29="","",Connections!E29)</f>
        <v>30</v>
      </c>
      <c r="D31" s="8" t="str">
        <f aca="false">IF(Connections!B29="","",Connections!B29)</f>
        <v/>
      </c>
      <c r="E31" s="4"/>
      <c r="F31" s="4"/>
      <c r="G31" s="4"/>
      <c r="H31" s="23" t="str">
        <f aca="false">IF(G31="","",G31/2)</f>
        <v/>
      </c>
      <c r="I31" s="4"/>
      <c r="J31" s="4"/>
      <c r="K31" s="4"/>
      <c r="L31" s="23" t="str">
        <f aca="false">IF(K31="","",K31/2)</f>
        <v/>
      </c>
      <c r="M31" s="4"/>
      <c r="N31" s="22" t="str">
        <f aca="false">IF(OR(G31="",K31="",$K$2="",$K$3=""),"",(K31-G31)/($K$3-$K$2))</f>
        <v/>
      </c>
      <c r="O31" s="21" t="str">
        <f aca="false">IF(N31="","",IF(N31&lt;=0,"",$K$2-G31/N31))</f>
        <v/>
      </c>
      <c r="P31" s="23" t="str">
        <f aca="false">IF(N31="","",3*N31)</f>
        <v/>
      </c>
      <c r="Q31" s="19" t="str">
        <f aca="false">IF(OR(E31="",G31="",G31=0),"",E31/G31)</f>
        <v/>
      </c>
      <c r="R31" s="21" t="str">
        <f aca="false">IF(OR(O31="",$P$3=""),"",O31-$P$3)</f>
        <v/>
      </c>
      <c r="S31" s="4"/>
      <c r="T31" s="4"/>
      <c r="U31" s="4"/>
      <c r="V31" s="17"/>
      <c r="W31" s="4"/>
    </row>
    <row r="32" customFormat="false" ht="15" hidden="false" customHeight="false" outlineLevel="0" collapsed="false">
      <c r="A32" s="8" t="str">
        <f aca="false">Connections!A30</f>
        <v>Q2</v>
      </c>
      <c r="B32" s="8" t="n">
        <f aca="false">Connections!D30</f>
        <v>1</v>
      </c>
      <c r="C32" s="8" t="n">
        <f aca="false">IF(Connections!E30="","",Connections!E30)</f>
        <v>1</v>
      </c>
      <c r="D32" s="8" t="str">
        <f aca="false">IF(Connections!B30="","",Connections!B30)</f>
        <v/>
      </c>
      <c r="E32" s="4"/>
      <c r="F32" s="4"/>
      <c r="G32" s="4"/>
      <c r="H32" s="23" t="str">
        <f aca="false">IF(G32="","",G32/2)</f>
        <v/>
      </c>
      <c r="I32" s="4"/>
      <c r="J32" s="4"/>
      <c r="K32" s="4"/>
      <c r="L32" s="23" t="str">
        <f aca="false">IF(K32="","",K32/2)</f>
        <v/>
      </c>
      <c r="M32" s="4"/>
      <c r="N32" s="22" t="str">
        <f aca="false">IF(OR(G32="",K32="",$K$2="",$K$3=""),"",(K32-G32)/($K$3-$K$2))</f>
        <v/>
      </c>
      <c r="O32" s="21" t="str">
        <f aca="false">IF(N32="","",IF(N32&lt;=0,"",$K$2-G32/N32))</f>
        <v/>
      </c>
      <c r="P32" s="23" t="str">
        <f aca="false">IF(N32="","",3*N32)</f>
        <v/>
      </c>
      <c r="Q32" s="19" t="str">
        <f aca="false">IF(OR(E32="",G32="",G32=0),"",E32/G32)</f>
        <v/>
      </c>
      <c r="R32" s="21" t="str">
        <f aca="false">IF(OR(O32="",$P$3=""),"",O32-$P$3)</f>
        <v/>
      </c>
      <c r="S32" s="4"/>
      <c r="T32" s="4"/>
      <c r="U32" s="4"/>
      <c r="V32" s="17"/>
      <c r="W32" s="4"/>
    </row>
    <row r="33" customFormat="false" ht="15" hidden="false" customHeight="false" outlineLevel="0" collapsed="false">
      <c r="A33" s="8" t="str">
        <f aca="false">Connections!A31</f>
        <v>Q2</v>
      </c>
      <c r="B33" s="8" t="n">
        <f aca="false">Connections!D31</f>
        <v>2</v>
      </c>
      <c r="C33" s="8" t="n">
        <f aca="false">IF(Connections!E31="","",Connections!E31)</f>
        <v>2</v>
      </c>
      <c r="D33" s="8" t="str">
        <f aca="false">IF(Connections!B31="","",Connections!B31)</f>
        <v/>
      </c>
      <c r="E33" s="4"/>
      <c r="F33" s="4"/>
      <c r="G33" s="4"/>
      <c r="H33" s="23" t="str">
        <f aca="false">IF(G33="","",G33/2)</f>
        <v/>
      </c>
      <c r="I33" s="4"/>
      <c r="J33" s="4"/>
      <c r="K33" s="4"/>
      <c r="L33" s="23" t="str">
        <f aca="false">IF(K33="","",K33/2)</f>
        <v/>
      </c>
      <c r="M33" s="4"/>
      <c r="N33" s="22" t="str">
        <f aca="false">IF(OR(G33="",K33="",$K$2="",$K$3=""),"",(K33-G33)/($K$3-$K$2))</f>
        <v/>
      </c>
      <c r="O33" s="21" t="str">
        <f aca="false">IF(N33="","",IF(N33&lt;=0,"",$K$2-G33/N33))</f>
        <v/>
      </c>
      <c r="P33" s="23" t="str">
        <f aca="false">IF(N33="","",3*N33)</f>
        <v/>
      </c>
      <c r="Q33" s="19" t="str">
        <f aca="false">IF(OR(E33="",G33="",G33=0),"",E33/G33)</f>
        <v/>
      </c>
      <c r="R33" s="21" t="str">
        <f aca="false">IF(OR(O33="",$P$3=""),"",O33-$P$3)</f>
        <v/>
      </c>
      <c r="S33" s="4"/>
      <c r="T33" s="4"/>
      <c r="U33" s="4"/>
      <c r="V33" s="17"/>
      <c r="W33" s="4"/>
    </row>
    <row r="34" customFormat="false" ht="15" hidden="false" customHeight="false" outlineLevel="0" collapsed="false">
      <c r="A34" s="8" t="str">
        <f aca="false">Connections!A32</f>
        <v>Q2</v>
      </c>
      <c r="B34" s="8" t="n">
        <f aca="false">Connections!D32</f>
        <v>3</v>
      </c>
      <c r="C34" s="8" t="n">
        <f aca="false">IF(Connections!E32="","",Connections!E32)</f>
        <v>3</v>
      </c>
      <c r="D34" s="8" t="str">
        <f aca="false">IF(Connections!B32="","",Connections!B32)</f>
        <v/>
      </c>
      <c r="E34" s="4"/>
      <c r="F34" s="4"/>
      <c r="G34" s="4"/>
      <c r="H34" s="23" t="str">
        <f aca="false">IF(G34="","",G34/2)</f>
        <v/>
      </c>
      <c r="I34" s="4"/>
      <c r="J34" s="4"/>
      <c r="K34" s="4"/>
      <c r="L34" s="23" t="str">
        <f aca="false">IF(K34="","",K34/2)</f>
        <v/>
      </c>
      <c r="M34" s="4"/>
      <c r="N34" s="22" t="str">
        <f aca="false">IF(OR(G34="",K34="",$K$2="",$K$3=""),"",(K34-G34)/($K$3-$K$2))</f>
        <v/>
      </c>
      <c r="O34" s="21" t="str">
        <f aca="false">IF(N34="","",IF(N34&lt;=0,"",$K$2-G34/N34))</f>
        <v/>
      </c>
      <c r="P34" s="23" t="str">
        <f aca="false">IF(N34="","",3*N34)</f>
        <v/>
      </c>
      <c r="Q34" s="19" t="str">
        <f aca="false">IF(OR(E34="",G34="",G34=0),"",E34/G34)</f>
        <v/>
      </c>
      <c r="R34" s="21" t="str">
        <f aca="false">IF(OR(O34="",$P$3=""),"",O34-$P$3)</f>
        <v/>
      </c>
      <c r="S34" s="4"/>
      <c r="T34" s="4"/>
      <c r="U34" s="4"/>
      <c r="V34" s="17"/>
      <c r="W34" s="4"/>
    </row>
    <row r="35" customFormat="false" ht="15" hidden="false" customHeight="false" outlineLevel="0" collapsed="false">
      <c r="A35" s="8" t="str">
        <f aca="false">Connections!A33</f>
        <v>Q2</v>
      </c>
      <c r="B35" s="8" t="n">
        <f aca="false">Connections!D33</f>
        <v>4</v>
      </c>
      <c r="C35" s="8" t="n">
        <f aca="false">IF(Connections!E33="","",Connections!E33)</f>
        <v>4</v>
      </c>
      <c r="D35" s="8" t="str">
        <f aca="false">IF(Connections!B33="","",Connections!B33)</f>
        <v/>
      </c>
      <c r="E35" s="4"/>
      <c r="F35" s="4"/>
      <c r="G35" s="4"/>
      <c r="H35" s="23" t="str">
        <f aca="false">IF(G35="","",G35/2)</f>
        <v/>
      </c>
      <c r="I35" s="4"/>
      <c r="J35" s="4"/>
      <c r="K35" s="4"/>
      <c r="L35" s="23" t="str">
        <f aca="false">IF(K35="","",K35/2)</f>
        <v/>
      </c>
      <c r="M35" s="4"/>
      <c r="N35" s="22" t="str">
        <f aca="false">IF(OR(G35="",K35="",$K$2="",$K$3=""),"",(K35-G35)/($K$3-$K$2))</f>
        <v/>
      </c>
      <c r="O35" s="21" t="str">
        <f aca="false">IF(N35="","",IF(N35&lt;=0,"",$K$2-G35/N35))</f>
        <v/>
      </c>
      <c r="P35" s="23" t="str">
        <f aca="false">IF(N35="","",3*N35)</f>
        <v/>
      </c>
      <c r="Q35" s="19" t="str">
        <f aca="false">IF(OR(E35="",G35="",G35=0),"",E35/G35)</f>
        <v/>
      </c>
      <c r="R35" s="21" t="str">
        <f aca="false">IF(OR(O35="",$P$3=""),"",O35-$P$3)</f>
        <v/>
      </c>
      <c r="S35" s="4"/>
      <c r="T35" s="4"/>
      <c r="U35" s="4"/>
      <c r="V35" s="17"/>
      <c r="W35" s="4"/>
    </row>
    <row r="36" customFormat="false" ht="15" hidden="false" customHeight="false" outlineLevel="0" collapsed="false">
      <c r="A36" s="8" t="str">
        <f aca="false">Connections!A34</f>
        <v>Q2</v>
      </c>
      <c r="B36" s="8" t="n">
        <f aca="false">Connections!D34</f>
        <v>5</v>
      </c>
      <c r="C36" s="8" t="n">
        <f aca="false">IF(Connections!E34="","",Connections!E34)</f>
        <v>5</v>
      </c>
      <c r="D36" s="8" t="str">
        <f aca="false">IF(Connections!B34="","",Connections!B34)</f>
        <v/>
      </c>
      <c r="E36" s="4"/>
      <c r="F36" s="4"/>
      <c r="G36" s="4"/>
      <c r="H36" s="23" t="str">
        <f aca="false">IF(G36="","",G36/2)</f>
        <v/>
      </c>
      <c r="I36" s="4"/>
      <c r="J36" s="4"/>
      <c r="K36" s="4"/>
      <c r="L36" s="23" t="str">
        <f aca="false">IF(K36="","",K36/2)</f>
        <v/>
      </c>
      <c r="M36" s="4"/>
      <c r="N36" s="22" t="str">
        <f aca="false">IF(OR(G36="",K36="",$K$2="",$K$3=""),"",(K36-G36)/($K$3-$K$2))</f>
        <v/>
      </c>
      <c r="O36" s="21" t="str">
        <f aca="false">IF(N36="","",IF(N36&lt;=0,"",$K$2-G36/N36))</f>
        <v/>
      </c>
      <c r="P36" s="23" t="str">
        <f aca="false">IF(N36="","",3*N36)</f>
        <v/>
      </c>
      <c r="Q36" s="19" t="str">
        <f aca="false">IF(OR(E36="",G36="",G36=0),"",E36/G36)</f>
        <v/>
      </c>
      <c r="R36" s="21" t="str">
        <f aca="false">IF(OR(O36="",$P$3=""),"",O36-$P$3)</f>
        <v/>
      </c>
      <c r="S36" s="4"/>
      <c r="T36" s="4"/>
      <c r="U36" s="4"/>
      <c r="V36" s="17"/>
      <c r="W36" s="4"/>
    </row>
    <row r="37" customFormat="false" ht="15" hidden="false" customHeight="false" outlineLevel="0" collapsed="false">
      <c r="A37" s="8" t="str">
        <f aca="false">Connections!A35</f>
        <v>Q2</v>
      </c>
      <c r="B37" s="8" t="n">
        <f aca="false">Connections!D35</f>
        <v>6</v>
      </c>
      <c r="C37" s="8" t="n">
        <f aca="false">IF(Connections!E35="","",Connections!E35)</f>
        <v>6</v>
      </c>
      <c r="D37" s="8" t="str">
        <f aca="false">IF(Connections!B35="","",Connections!B35)</f>
        <v/>
      </c>
      <c r="E37" s="4"/>
      <c r="F37" s="4"/>
      <c r="G37" s="4"/>
      <c r="H37" s="23" t="str">
        <f aca="false">IF(G37="","",G37/2)</f>
        <v/>
      </c>
      <c r="I37" s="4"/>
      <c r="J37" s="4"/>
      <c r="K37" s="4"/>
      <c r="L37" s="23" t="str">
        <f aca="false">IF(K37="","",K37/2)</f>
        <v/>
      </c>
      <c r="M37" s="4"/>
      <c r="N37" s="22" t="str">
        <f aca="false">IF(OR(G37="",K37="",$K$2="",$K$3=""),"",(K37-G37)/($K$3-$K$2))</f>
        <v/>
      </c>
      <c r="O37" s="21" t="str">
        <f aca="false">IF(N37="","",IF(N37&lt;=0,"",$K$2-G37/N37))</f>
        <v/>
      </c>
      <c r="P37" s="23" t="str">
        <f aca="false">IF(N37="","",3*N37)</f>
        <v/>
      </c>
      <c r="Q37" s="19" t="str">
        <f aca="false">IF(OR(E37="",G37="",G37=0),"",E37/G37)</f>
        <v/>
      </c>
      <c r="R37" s="21" t="str">
        <f aca="false">IF(OR(O37="",$P$3=""),"",O37-$P$3)</f>
        <v/>
      </c>
      <c r="S37" s="4"/>
      <c r="T37" s="4"/>
      <c r="U37" s="4"/>
      <c r="V37" s="17"/>
      <c r="W37" s="4"/>
    </row>
    <row r="38" customFormat="false" ht="15" hidden="false" customHeight="false" outlineLevel="0" collapsed="false">
      <c r="A38" s="8" t="str">
        <f aca="false">Connections!A36</f>
        <v>Q2</v>
      </c>
      <c r="B38" s="8" t="n">
        <f aca="false">Connections!D36</f>
        <v>7</v>
      </c>
      <c r="C38" s="8" t="n">
        <f aca="false">IF(Connections!E36="","",Connections!E36)</f>
        <v>7</v>
      </c>
      <c r="D38" s="8" t="str">
        <f aca="false">IF(Connections!B36="","",Connections!B36)</f>
        <v/>
      </c>
      <c r="E38" s="4"/>
      <c r="F38" s="4"/>
      <c r="G38" s="4"/>
      <c r="H38" s="23" t="str">
        <f aca="false">IF(G38="","",G38/2)</f>
        <v/>
      </c>
      <c r="I38" s="4"/>
      <c r="J38" s="4"/>
      <c r="K38" s="4"/>
      <c r="L38" s="23" t="str">
        <f aca="false">IF(K38="","",K38/2)</f>
        <v/>
      </c>
      <c r="M38" s="4"/>
      <c r="N38" s="22" t="str">
        <f aca="false">IF(OR(G38="",K38="",$K$2="",$K$3=""),"",(K38-G38)/($K$3-$K$2))</f>
        <v/>
      </c>
      <c r="O38" s="21" t="str">
        <f aca="false">IF(N38="","",IF(N38&lt;=0,"",$K$2-G38/N38))</f>
        <v/>
      </c>
      <c r="P38" s="23" t="str">
        <f aca="false">IF(N38="","",3*N38)</f>
        <v/>
      </c>
      <c r="Q38" s="19" t="str">
        <f aca="false">IF(OR(E38="",G38="",G38=0),"",E38/G38)</f>
        <v/>
      </c>
      <c r="R38" s="21" t="str">
        <f aca="false">IF(OR(O38="",$P$3=""),"",O38-$P$3)</f>
        <v/>
      </c>
      <c r="S38" s="4"/>
      <c r="T38" s="4"/>
      <c r="U38" s="4"/>
      <c r="V38" s="17"/>
      <c r="W38" s="4"/>
    </row>
    <row r="39" customFormat="false" ht="15" hidden="false" customHeight="false" outlineLevel="0" collapsed="false">
      <c r="A39" s="8" t="str">
        <f aca="false">Connections!A37</f>
        <v>Q2</v>
      </c>
      <c r="B39" s="8" t="n">
        <f aca="false">Connections!D37</f>
        <v>8</v>
      </c>
      <c r="C39" s="8" t="n">
        <f aca="false">IF(Connections!E37="","",Connections!E37)</f>
        <v>8</v>
      </c>
      <c r="D39" s="8" t="str">
        <f aca="false">IF(Connections!B37="","",Connections!B37)</f>
        <v/>
      </c>
      <c r="E39" s="4"/>
      <c r="F39" s="4"/>
      <c r="G39" s="4"/>
      <c r="H39" s="23" t="str">
        <f aca="false">IF(G39="","",G39/2)</f>
        <v/>
      </c>
      <c r="I39" s="4"/>
      <c r="J39" s="4"/>
      <c r="K39" s="4"/>
      <c r="L39" s="23" t="str">
        <f aca="false">IF(K39="","",K39/2)</f>
        <v/>
      </c>
      <c r="M39" s="4"/>
      <c r="N39" s="22" t="str">
        <f aca="false">IF(OR(G39="",K39="",$K$2="",$K$3=""),"",(K39-G39)/($K$3-$K$2))</f>
        <v/>
      </c>
      <c r="O39" s="21" t="str">
        <f aca="false">IF(N39="","",IF(N39&lt;=0,"",$K$2-G39/N39))</f>
        <v/>
      </c>
      <c r="P39" s="23" t="str">
        <f aca="false">IF(N39="","",3*N39)</f>
        <v/>
      </c>
      <c r="Q39" s="19" t="str">
        <f aca="false">IF(OR(E39="",G39="",G39=0),"",E39/G39)</f>
        <v/>
      </c>
      <c r="R39" s="21" t="str">
        <f aca="false">IF(OR(O39="",$P$3=""),"",O39-$P$3)</f>
        <v/>
      </c>
      <c r="S39" s="4"/>
      <c r="T39" s="4"/>
      <c r="U39" s="4"/>
      <c r="V39" s="17"/>
      <c r="W39" s="4"/>
    </row>
    <row r="40" customFormat="false" ht="15" hidden="false" customHeight="false" outlineLevel="0" collapsed="false">
      <c r="A40" s="8" t="str">
        <f aca="false">Connections!A38</f>
        <v>Q2</v>
      </c>
      <c r="B40" s="8" t="n">
        <f aca="false">Connections!D38</f>
        <v>9</v>
      </c>
      <c r="C40" s="8" t="n">
        <f aca="false">IF(Connections!E38="","",Connections!E38)</f>
        <v>9</v>
      </c>
      <c r="D40" s="8" t="str">
        <f aca="false">IF(Connections!B38="","",Connections!B38)</f>
        <v/>
      </c>
      <c r="E40" s="4"/>
      <c r="F40" s="4"/>
      <c r="G40" s="4"/>
      <c r="H40" s="23" t="str">
        <f aca="false">IF(G40="","",G40/2)</f>
        <v/>
      </c>
      <c r="I40" s="4"/>
      <c r="J40" s="4"/>
      <c r="K40" s="4"/>
      <c r="L40" s="23" t="str">
        <f aca="false">IF(K40="","",K40/2)</f>
        <v/>
      </c>
      <c r="M40" s="4"/>
      <c r="N40" s="22" t="str">
        <f aca="false">IF(OR(G40="",K40="",$K$2="",$K$3=""),"",(K40-G40)/($K$3-$K$2))</f>
        <v/>
      </c>
      <c r="O40" s="21" t="str">
        <f aca="false">IF(N40="","",IF(N40&lt;=0,"",$K$2-G40/N40))</f>
        <v/>
      </c>
      <c r="P40" s="23" t="str">
        <f aca="false">IF(N40="","",3*N40)</f>
        <v/>
      </c>
      <c r="Q40" s="19" t="str">
        <f aca="false">IF(OR(E40="",G40="",G40=0),"",E40/G40)</f>
        <v/>
      </c>
      <c r="R40" s="21" t="str">
        <f aca="false">IF(OR(O40="",$P$3=""),"",O40-$P$3)</f>
        <v/>
      </c>
      <c r="S40" s="4"/>
      <c r="T40" s="4"/>
      <c r="U40" s="4"/>
      <c r="V40" s="17"/>
      <c r="W40" s="4"/>
    </row>
    <row r="41" customFormat="false" ht="15" hidden="false" customHeight="false" outlineLevel="0" collapsed="false">
      <c r="A41" s="8" t="str">
        <f aca="false">Connections!A39</f>
        <v>Q2</v>
      </c>
      <c r="B41" s="8" t="n">
        <f aca="false">Connections!D39</f>
        <v>10</v>
      </c>
      <c r="C41" s="8" t="n">
        <f aca="false">IF(Connections!E39="","",Connections!E39)</f>
        <v>10</v>
      </c>
      <c r="D41" s="8" t="str">
        <f aca="false">IF(Connections!B39="","",Connections!B39)</f>
        <v/>
      </c>
      <c r="E41" s="4"/>
      <c r="F41" s="4"/>
      <c r="G41" s="4"/>
      <c r="H41" s="23" t="str">
        <f aca="false">IF(G41="","",G41/2)</f>
        <v/>
      </c>
      <c r="I41" s="4"/>
      <c r="J41" s="4"/>
      <c r="K41" s="4"/>
      <c r="L41" s="23" t="str">
        <f aca="false">IF(K41="","",K41/2)</f>
        <v/>
      </c>
      <c r="M41" s="4"/>
      <c r="N41" s="22" t="str">
        <f aca="false">IF(OR(G41="",K41="",$K$2="",$K$3=""),"",(K41-G41)/($K$3-$K$2))</f>
        <v/>
      </c>
      <c r="O41" s="21" t="str">
        <f aca="false">IF(N41="","",IF(N41&lt;=0,"",$K$2-G41/N41))</f>
        <v/>
      </c>
      <c r="P41" s="23" t="str">
        <f aca="false">IF(N41="","",3*N41)</f>
        <v/>
      </c>
      <c r="Q41" s="19" t="str">
        <f aca="false">IF(OR(E41="",G41="",G41=0),"",E41/G41)</f>
        <v/>
      </c>
      <c r="R41" s="21" t="str">
        <f aca="false">IF(OR(O41="",$P$3=""),"",O41-$P$3)</f>
        <v/>
      </c>
      <c r="S41" s="4"/>
      <c r="T41" s="4"/>
      <c r="U41" s="4"/>
      <c r="V41" s="17"/>
      <c r="W41" s="4"/>
    </row>
    <row r="42" customFormat="false" ht="15" hidden="false" customHeight="false" outlineLevel="0" collapsed="false">
      <c r="A42" s="8" t="str">
        <f aca="false">Connections!A40</f>
        <v>Q2</v>
      </c>
      <c r="B42" s="8" t="n">
        <f aca="false">Connections!D40</f>
        <v>11</v>
      </c>
      <c r="C42" s="8" t="n">
        <f aca="false">IF(Connections!E40="","",Connections!E40)</f>
        <v>11</v>
      </c>
      <c r="D42" s="8" t="str">
        <f aca="false">IF(Connections!B40="","",Connections!B40)</f>
        <v/>
      </c>
      <c r="E42" s="4"/>
      <c r="F42" s="4"/>
      <c r="G42" s="4"/>
      <c r="H42" s="23" t="str">
        <f aca="false">IF(G42="","",G42/2)</f>
        <v/>
      </c>
      <c r="I42" s="4"/>
      <c r="J42" s="4"/>
      <c r="K42" s="4"/>
      <c r="L42" s="23" t="str">
        <f aca="false">IF(K42="","",K42/2)</f>
        <v/>
      </c>
      <c r="M42" s="4"/>
      <c r="N42" s="22" t="str">
        <f aca="false">IF(OR(G42="",K42="",$K$2="",$K$3=""),"",(K42-G42)/($K$3-$K$2))</f>
        <v/>
      </c>
      <c r="O42" s="21" t="str">
        <f aca="false">IF(N42="","",IF(N42&lt;=0,"",$K$2-G42/N42))</f>
        <v/>
      </c>
      <c r="P42" s="23" t="str">
        <f aca="false">IF(N42="","",3*N42)</f>
        <v/>
      </c>
      <c r="Q42" s="19" t="str">
        <f aca="false">IF(OR(E42="",G42="",G42=0),"",E42/G42)</f>
        <v/>
      </c>
      <c r="R42" s="21" t="str">
        <f aca="false">IF(OR(O42="",$P$3=""),"",O42-$P$3)</f>
        <v/>
      </c>
      <c r="S42" s="4"/>
      <c r="T42" s="4"/>
      <c r="U42" s="4"/>
      <c r="V42" s="17"/>
      <c r="W42" s="4"/>
    </row>
    <row r="43" customFormat="false" ht="15" hidden="false" customHeight="false" outlineLevel="0" collapsed="false">
      <c r="A43" s="8" t="str">
        <f aca="false">Connections!A41</f>
        <v>Q2</v>
      </c>
      <c r="B43" s="8" t="n">
        <f aca="false">Connections!D41</f>
        <v>12</v>
      </c>
      <c r="C43" s="8" t="n">
        <f aca="false">IF(Connections!E41="","",Connections!E41)</f>
        <v>12</v>
      </c>
      <c r="D43" s="8" t="str">
        <f aca="false">IF(Connections!B41="","",Connections!B41)</f>
        <v/>
      </c>
      <c r="E43" s="4"/>
      <c r="F43" s="4"/>
      <c r="G43" s="4"/>
      <c r="H43" s="23" t="str">
        <f aca="false">IF(G43="","",G43/2)</f>
        <v/>
      </c>
      <c r="I43" s="4"/>
      <c r="J43" s="4"/>
      <c r="K43" s="4"/>
      <c r="L43" s="23" t="str">
        <f aca="false">IF(K43="","",K43/2)</f>
        <v/>
      </c>
      <c r="M43" s="4"/>
      <c r="N43" s="22" t="str">
        <f aca="false">IF(OR(G43="",K43="",$K$2="",$K$3=""),"",(K43-G43)/($K$3-$K$2))</f>
        <v/>
      </c>
      <c r="O43" s="21" t="str">
        <f aca="false">IF(N43="","",IF(N43&lt;=0,"",$K$2-G43/N43))</f>
        <v/>
      </c>
      <c r="P43" s="23" t="str">
        <f aca="false">IF(N43="","",3*N43)</f>
        <v/>
      </c>
      <c r="Q43" s="19" t="str">
        <f aca="false">IF(OR(E43="",G43="",G43=0),"",E43/G43)</f>
        <v/>
      </c>
      <c r="R43" s="21" t="str">
        <f aca="false">IF(OR(O43="",$P$3=""),"",O43-$P$3)</f>
        <v/>
      </c>
      <c r="S43" s="4"/>
      <c r="T43" s="4"/>
      <c r="U43" s="4"/>
      <c r="V43" s="17"/>
      <c r="W43" s="4"/>
    </row>
    <row r="44" customFormat="false" ht="15" hidden="false" customHeight="false" outlineLevel="0" collapsed="false">
      <c r="A44" s="8" t="str">
        <f aca="false">Connections!A42</f>
        <v>Q2</v>
      </c>
      <c r="B44" s="8" t="n">
        <f aca="false">Connections!D42</f>
        <v>13</v>
      </c>
      <c r="C44" s="8" t="n">
        <f aca="false">IF(Connections!E42="","",Connections!E42)</f>
        <v>13</v>
      </c>
      <c r="D44" s="8" t="str">
        <f aca="false">IF(Connections!B42="","",Connections!B42)</f>
        <v/>
      </c>
      <c r="E44" s="4"/>
      <c r="F44" s="4"/>
      <c r="G44" s="4"/>
      <c r="H44" s="23" t="str">
        <f aca="false">IF(G44="","",G44/2)</f>
        <v/>
      </c>
      <c r="I44" s="4"/>
      <c r="J44" s="4"/>
      <c r="K44" s="4"/>
      <c r="L44" s="23" t="str">
        <f aca="false">IF(K44="","",K44/2)</f>
        <v/>
      </c>
      <c r="M44" s="4"/>
      <c r="N44" s="22" t="str">
        <f aca="false">IF(OR(G44="",K44="",$K$2="",$K$3=""),"",(K44-G44)/($K$3-$K$2))</f>
        <v/>
      </c>
      <c r="O44" s="21" t="str">
        <f aca="false">IF(N44="","",IF(N44&lt;=0,"",$K$2-G44/N44))</f>
        <v/>
      </c>
      <c r="P44" s="23" t="str">
        <f aca="false">IF(N44="","",3*N44)</f>
        <v/>
      </c>
      <c r="Q44" s="19" t="str">
        <f aca="false">IF(OR(E44="",G44="",G44=0),"",E44/G44)</f>
        <v/>
      </c>
      <c r="R44" s="21" t="str">
        <f aca="false">IF(OR(O44="",$P$3=""),"",O44-$P$3)</f>
        <v/>
      </c>
      <c r="S44" s="4"/>
      <c r="T44" s="4"/>
      <c r="U44" s="4"/>
      <c r="V44" s="17"/>
      <c r="W44" s="4"/>
    </row>
    <row r="45" customFormat="false" ht="15" hidden="false" customHeight="false" outlineLevel="0" collapsed="false">
      <c r="A45" s="8" t="str">
        <f aca="false">Connections!A43</f>
        <v>Q2</v>
      </c>
      <c r="B45" s="8" t="n">
        <f aca="false">Connections!D43</f>
        <v>14</v>
      </c>
      <c r="C45" s="8" t="n">
        <f aca="false">IF(Connections!E43="","",Connections!E43)</f>
        <v>14</v>
      </c>
      <c r="D45" s="8" t="str">
        <f aca="false">IF(Connections!B43="","",Connections!B43)</f>
        <v/>
      </c>
      <c r="E45" s="4"/>
      <c r="F45" s="4"/>
      <c r="G45" s="4"/>
      <c r="H45" s="23" t="str">
        <f aca="false">IF(G45="","",G45/2)</f>
        <v/>
      </c>
      <c r="I45" s="4"/>
      <c r="J45" s="4"/>
      <c r="K45" s="4"/>
      <c r="L45" s="23" t="str">
        <f aca="false">IF(K45="","",K45/2)</f>
        <v/>
      </c>
      <c r="M45" s="4"/>
      <c r="N45" s="22" t="str">
        <f aca="false">IF(OR(G45="",K45="",$K$2="",$K$3=""),"",(K45-G45)/($K$3-$K$2))</f>
        <v/>
      </c>
      <c r="O45" s="21" t="str">
        <f aca="false">IF(N45="","",IF(N45&lt;=0,"",$K$2-G45/N45))</f>
        <v/>
      </c>
      <c r="P45" s="23" t="str">
        <f aca="false">IF(N45="","",3*N45)</f>
        <v/>
      </c>
      <c r="Q45" s="19" t="str">
        <f aca="false">IF(OR(E45="",G45="",G45=0),"",E45/G45)</f>
        <v/>
      </c>
      <c r="R45" s="21" t="str">
        <f aca="false">IF(OR(O45="",$P$3=""),"",O45-$P$3)</f>
        <v/>
      </c>
      <c r="S45" s="4"/>
      <c r="T45" s="4"/>
      <c r="U45" s="4"/>
      <c r="V45" s="17"/>
      <c r="W45" s="4"/>
    </row>
    <row r="46" customFormat="false" ht="15" hidden="false" customHeight="false" outlineLevel="0" collapsed="false">
      <c r="A46" s="8" t="str">
        <f aca="false">Connections!A44</f>
        <v>Q2</v>
      </c>
      <c r="B46" s="8" t="n">
        <f aca="false">Connections!D44</f>
        <v>15</v>
      </c>
      <c r="C46" s="8" t="n">
        <f aca="false">IF(Connections!E44="","",Connections!E44)</f>
        <v>15</v>
      </c>
      <c r="D46" s="8" t="str">
        <f aca="false">IF(Connections!B44="","",Connections!B44)</f>
        <v/>
      </c>
      <c r="E46" s="4"/>
      <c r="F46" s="4"/>
      <c r="G46" s="4"/>
      <c r="H46" s="23" t="str">
        <f aca="false">IF(G46="","",G46/2)</f>
        <v/>
      </c>
      <c r="I46" s="4"/>
      <c r="J46" s="4"/>
      <c r="K46" s="4"/>
      <c r="L46" s="23" t="str">
        <f aca="false">IF(K46="","",K46/2)</f>
        <v/>
      </c>
      <c r="M46" s="4"/>
      <c r="N46" s="22" t="str">
        <f aca="false">IF(OR(G46="",K46="",$K$2="",$K$3=""),"",(K46-G46)/($K$3-$K$2))</f>
        <v/>
      </c>
      <c r="O46" s="21" t="str">
        <f aca="false">IF(N46="","",IF(N46&lt;=0,"",$K$2-G46/N46))</f>
        <v/>
      </c>
      <c r="P46" s="23" t="str">
        <f aca="false">IF(N46="","",3*N46)</f>
        <v/>
      </c>
      <c r="Q46" s="19" t="str">
        <f aca="false">IF(OR(E46="",G46="",G46=0),"",E46/G46)</f>
        <v/>
      </c>
      <c r="R46" s="21" t="str">
        <f aca="false">IF(OR(O46="",$P$3=""),"",O46-$P$3)</f>
        <v/>
      </c>
      <c r="S46" s="4"/>
      <c r="T46" s="4"/>
      <c r="U46" s="4"/>
      <c r="V46" s="17"/>
      <c r="W46" s="4"/>
    </row>
    <row r="47" customFormat="false" ht="15" hidden="false" customHeight="false" outlineLevel="0" collapsed="false">
      <c r="A47" s="8" t="str">
        <f aca="false">Connections!A45</f>
        <v>Q2</v>
      </c>
      <c r="B47" s="8" t="n">
        <f aca="false">Connections!D45</f>
        <v>16</v>
      </c>
      <c r="C47" s="8" t="n">
        <f aca="false">IF(Connections!E45="","",Connections!E45)</f>
        <v>16</v>
      </c>
      <c r="D47" s="8" t="str">
        <f aca="false">IF(Connections!B45="","",Connections!B45)</f>
        <v/>
      </c>
      <c r="E47" s="4"/>
      <c r="F47" s="4"/>
      <c r="G47" s="4"/>
      <c r="H47" s="23" t="str">
        <f aca="false">IF(G47="","",G47/2)</f>
        <v/>
      </c>
      <c r="I47" s="4"/>
      <c r="J47" s="4"/>
      <c r="K47" s="4"/>
      <c r="L47" s="23" t="str">
        <f aca="false">IF(K47="","",K47/2)</f>
        <v/>
      </c>
      <c r="M47" s="4"/>
      <c r="N47" s="22" t="str">
        <f aca="false">IF(OR(G47="",K47="",$K$2="",$K$3=""),"",(K47-G47)/($K$3-$K$2))</f>
        <v/>
      </c>
      <c r="O47" s="21" t="str">
        <f aca="false">IF(N47="","",IF(N47&lt;=0,"",$K$2-G47/N47))</f>
        <v/>
      </c>
      <c r="P47" s="23" t="str">
        <f aca="false">IF(N47="","",3*N47)</f>
        <v/>
      </c>
      <c r="Q47" s="19" t="str">
        <f aca="false">IF(OR(E47="",G47="",G47=0),"",E47/G47)</f>
        <v/>
      </c>
      <c r="R47" s="21" t="str">
        <f aca="false">IF(OR(O47="",$P$3=""),"",O47-$P$3)</f>
        <v/>
      </c>
      <c r="S47" s="4"/>
      <c r="T47" s="4"/>
      <c r="U47" s="4"/>
      <c r="V47" s="17"/>
      <c r="W47" s="4"/>
    </row>
    <row r="48" customFormat="false" ht="15" hidden="false" customHeight="false" outlineLevel="0" collapsed="false">
      <c r="A48" s="8" t="str">
        <f aca="false">Connections!A46</f>
        <v>Q2</v>
      </c>
      <c r="B48" s="8" t="n">
        <f aca="false">Connections!D46</f>
        <v>23</v>
      </c>
      <c r="C48" s="8" t="n">
        <f aca="false">IF(Connections!E46="","",Connections!E46)</f>
        <v>23</v>
      </c>
      <c r="D48" s="8" t="str">
        <f aca="false">IF(Connections!B46="","",Connections!B46)</f>
        <v/>
      </c>
      <c r="E48" s="4"/>
      <c r="F48" s="4"/>
      <c r="G48" s="4"/>
      <c r="H48" s="23" t="str">
        <f aca="false">IF(G48="","",G48/2)</f>
        <v/>
      </c>
      <c r="I48" s="4"/>
      <c r="J48" s="4"/>
      <c r="K48" s="4"/>
      <c r="L48" s="23" t="str">
        <f aca="false">IF(K48="","",K48/2)</f>
        <v/>
      </c>
      <c r="M48" s="4"/>
      <c r="N48" s="22" t="str">
        <f aca="false">IF(OR(G48="",K48="",$K$2="",$K$3=""),"",(K48-G48)/($K$3-$K$2))</f>
        <v/>
      </c>
      <c r="O48" s="21" t="str">
        <f aca="false">IF(N48="","",IF(N48&lt;=0,"",$K$2-G48/N48))</f>
        <v/>
      </c>
      <c r="P48" s="23" t="str">
        <f aca="false">IF(N48="","",3*N48)</f>
        <v/>
      </c>
      <c r="Q48" s="19" t="str">
        <f aca="false">IF(OR(E48="",G48="",G48=0),"",E48/G48)</f>
        <v/>
      </c>
      <c r="R48" s="21" t="str">
        <f aca="false">IF(OR(O48="",$P$3=""),"",O48-$P$3)</f>
        <v/>
      </c>
      <c r="S48" s="4"/>
      <c r="T48" s="4"/>
      <c r="U48" s="4"/>
      <c r="V48" s="17"/>
      <c r="W48" s="4"/>
    </row>
    <row r="49" customFormat="false" ht="15" hidden="false" customHeight="false" outlineLevel="0" collapsed="false">
      <c r="A49" s="8" t="str">
        <f aca="false">Connections!A47</f>
        <v>Q2</v>
      </c>
      <c r="B49" s="8" t="n">
        <f aca="false">Connections!D47</f>
        <v>24</v>
      </c>
      <c r="C49" s="8" t="n">
        <f aca="false">IF(Connections!E47="","",Connections!E47)</f>
        <v>24</v>
      </c>
      <c r="D49" s="8" t="str">
        <f aca="false">IF(Connections!B47="","",Connections!B47)</f>
        <v/>
      </c>
      <c r="E49" s="4"/>
      <c r="F49" s="4"/>
      <c r="G49" s="4"/>
      <c r="H49" s="23" t="str">
        <f aca="false">IF(G49="","",G49/2)</f>
        <v/>
      </c>
      <c r="I49" s="4"/>
      <c r="J49" s="4"/>
      <c r="K49" s="4"/>
      <c r="L49" s="23" t="str">
        <f aca="false">IF(K49="","",K49/2)</f>
        <v/>
      </c>
      <c r="M49" s="4"/>
      <c r="N49" s="22" t="str">
        <f aca="false">IF(OR(G49="",K49="",$K$2="",$K$3=""),"",(K49-G49)/($K$3-$K$2))</f>
        <v/>
      </c>
      <c r="O49" s="21" t="str">
        <f aca="false">IF(N49="","",IF(N49&lt;=0,"",$K$2-G49/N49))</f>
        <v/>
      </c>
      <c r="P49" s="23" t="str">
        <f aca="false">IF(N49="","",3*N49)</f>
        <v/>
      </c>
      <c r="Q49" s="19" t="str">
        <f aca="false">IF(OR(E49="",G49="",G49=0),"",E49/G49)</f>
        <v/>
      </c>
      <c r="R49" s="21" t="str">
        <f aca="false">IF(OR(O49="",$P$3=""),"",O49-$P$3)</f>
        <v/>
      </c>
      <c r="S49" s="4"/>
      <c r="T49" s="4"/>
      <c r="U49" s="4"/>
      <c r="V49" s="17"/>
      <c r="W49" s="4"/>
    </row>
    <row r="50" customFormat="false" ht="15" hidden="false" customHeight="false" outlineLevel="0" collapsed="false">
      <c r="A50" s="8" t="str">
        <f aca="false">Connections!A48</f>
        <v>Q2</v>
      </c>
      <c r="B50" s="8" t="n">
        <f aca="false">Connections!D48</f>
        <v>25</v>
      </c>
      <c r="C50" s="8" t="n">
        <f aca="false">IF(Connections!E48="","",Connections!E48)</f>
        <v>25</v>
      </c>
      <c r="D50" s="8" t="str">
        <f aca="false">IF(Connections!B48="","",Connections!B48)</f>
        <v/>
      </c>
      <c r="E50" s="4"/>
      <c r="F50" s="4"/>
      <c r="G50" s="4"/>
      <c r="H50" s="23" t="str">
        <f aca="false">IF(G50="","",G50/2)</f>
        <v/>
      </c>
      <c r="I50" s="4"/>
      <c r="J50" s="4"/>
      <c r="K50" s="4"/>
      <c r="L50" s="23" t="str">
        <f aca="false">IF(K50="","",K50/2)</f>
        <v/>
      </c>
      <c r="M50" s="4"/>
      <c r="N50" s="22" t="str">
        <f aca="false">IF(OR(G50="",K50="",$K$2="",$K$3=""),"",(K50-G50)/($K$3-$K$2))</f>
        <v/>
      </c>
      <c r="O50" s="21" t="str">
        <f aca="false">IF(N50="","",IF(N50&lt;=0,"",$K$2-G50/N50))</f>
        <v/>
      </c>
      <c r="P50" s="23" t="str">
        <f aca="false">IF(N50="","",3*N50)</f>
        <v/>
      </c>
      <c r="Q50" s="19" t="str">
        <f aca="false">IF(OR(E50="",G50="",G50=0),"",E50/G50)</f>
        <v/>
      </c>
      <c r="R50" s="21" t="str">
        <f aca="false">IF(OR(O50="",$P$3=""),"",O50-$P$3)</f>
        <v/>
      </c>
      <c r="S50" s="4"/>
      <c r="T50" s="4"/>
      <c r="U50" s="4"/>
      <c r="V50" s="17"/>
      <c r="W50" s="4"/>
    </row>
    <row r="51" customFormat="false" ht="15" hidden="false" customHeight="false" outlineLevel="0" collapsed="false">
      <c r="A51" s="8" t="str">
        <f aca="false">Connections!A49</f>
        <v>Q2</v>
      </c>
      <c r="B51" s="8" t="n">
        <f aca="false">Connections!D49</f>
        <v>26</v>
      </c>
      <c r="C51" s="8" t="n">
        <f aca="false">IF(Connections!E49="","",Connections!E49)</f>
        <v>26</v>
      </c>
      <c r="D51" s="8" t="str">
        <f aca="false">IF(Connections!B49="","",Connections!B49)</f>
        <v/>
      </c>
      <c r="E51" s="4"/>
      <c r="F51" s="4"/>
      <c r="G51" s="4"/>
      <c r="H51" s="23" t="str">
        <f aca="false">IF(G51="","",G51/2)</f>
        <v/>
      </c>
      <c r="I51" s="4"/>
      <c r="J51" s="4"/>
      <c r="K51" s="4"/>
      <c r="L51" s="23" t="str">
        <f aca="false">IF(K51="","",K51/2)</f>
        <v/>
      </c>
      <c r="M51" s="4"/>
      <c r="N51" s="22" t="str">
        <f aca="false">IF(OR(G51="",K51="",$K$2="",$K$3=""),"",(K51-G51)/($K$3-$K$2))</f>
        <v/>
      </c>
      <c r="O51" s="21" t="str">
        <f aca="false">IF(N51="","",IF(N51&lt;=0,"",$K$2-G51/N51))</f>
        <v/>
      </c>
      <c r="P51" s="23" t="str">
        <f aca="false">IF(N51="","",3*N51)</f>
        <v/>
      </c>
      <c r="Q51" s="19" t="str">
        <f aca="false">IF(OR(E51="",G51="",G51=0),"",E51/G51)</f>
        <v/>
      </c>
      <c r="R51" s="21" t="str">
        <f aca="false">IF(OR(O51="",$P$3=""),"",O51-$P$3)</f>
        <v/>
      </c>
      <c r="S51" s="4"/>
      <c r="T51" s="4"/>
      <c r="U51" s="4"/>
      <c r="V51" s="17"/>
      <c r="W51" s="4"/>
    </row>
    <row r="52" customFormat="false" ht="15" hidden="false" customHeight="false" outlineLevel="0" collapsed="false">
      <c r="A52" s="8" t="str">
        <f aca="false">Connections!A50</f>
        <v>Q2</v>
      </c>
      <c r="B52" s="8" t="n">
        <f aca="false">Connections!D50</f>
        <v>27</v>
      </c>
      <c r="C52" s="8" t="n">
        <f aca="false">IF(Connections!E50="","",Connections!E50)</f>
        <v>27</v>
      </c>
      <c r="D52" s="8" t="str">
        <f aca="false">IF(Connections!B50="","",Connections!B50)</f>
        <v/>
      </c>
      <c r="E52" s="4"/>
      <c r="F52" s="4"/>
      <c r="G52" s="4"/>
      <c r="H52" s="23" t="str">
        <f aca="false">IF(G52="","",G52/2)</f>
        <v/>
      </c>
      <c r="I52" s="4"/>
      <c r="J52" s="4"/>
      <c r="K52" s="4"/>
      <c r="L52" s="23" t="str">
        <f aca="false">IF(K52="","",K52/2)</f>
        <v/>
      </c>
      <c r="M52" s="4"/>
      <c r="N52" s="22" t="str">
        <f aca="false">IF(OR(G52="",K52="",$K$2="",$K$3=""),"",(K52-G52)/($K$3-$K$2))</f>
        <v/>
      </c>
      <c r="O52" s="21" t="str">
        <f aca="false">IF(N52="","",IF(N52&lt;=0,"",$K$2-G52/N52))</f>
        <v/>
      </c>
      <c r="P52" s="23" t="str">
        <f aca="false">IF(N52="","",3*N52)</f>
        <v/>
      </c>
      <c r="Q52" s="19" t="str">
        <f aca="false">IF(OR(E52="",G52="",G52=0),"",E52/G52)</f>
        <v/>
      </c>
      <c r="R52" s="21" t="str">
        <f aca="false">IF(OR(O52="",$P$3=""),"",O52-$P$3)</f>
        <v/>
      </c>
      <c r="S52" s="4"/>
      <c r="T52" s="4"/>
      <c r="U52" s="4"/>
      <c r="V52" s="17"/>
      <c r="W52" s="4"/>
    </row>
    <row r="53" customFormat="false" ht="15" hidden="false" customHeight="false" outlineLevel="0" collapsed="false">
      <c r="A53" s="8" t="str">
        <f aca="false">Connections!A51</f>
        <v>Q2</v>
      </c>
      <c r="B53" s="8" t="n">
        <f aca="false">Connections!D51</f>
        <v>28</v>
      </c>
      <c r="C53" s="8" t="n">
        <f aca="false">IF(Connections!E51="","",Connections!E51)</f>
        <v>28</v>
      </c>
      <c r="D53" s="8" t="str">
        <f aca="false">IF(Connections!B51="","",Connections!B51)</f>
        <v/>
      </c>
      <c r="E53" s="4"/>
      <c r="F53" s="4"/>
      <c r="G53" s="4"/>
      <c r="H53" s="23" t="str">
        <f aca="false">IF(G53="","",G53/2)</f>
        <v/>
      </c>
      <c r="I53" s="4"/>
      <c r="J53" s="4"/>
      <c r="K53" s="4"/>
      <c r="L53" s="23" t="str">
        <f aca="false">IF(K53="","",K53/2)</f>
        <v/>
      </c>
      <c r="M53" s="4"/>
      <c r="N53" s="22" t="str">
        <f aca="false">IF(OR(G53="",K53="",$K$2="",$K$3=""),"",(K53-G53)/($K$3-$K$2))</f>
        <v/>
      </c>
      <c r="O53" s="21" t="str">
        <f aca="false">IF(N53="","",IF(N53&lt;=0,"",$K$2-G53/N53))</f>
        <v/>
      </c>
      <c r="P53" s="23" t="str">
        <f aca="false">IF(N53="","",3*N53)</f>
        <v/>
      </c>
      <c r="Q53" s="19" t="str">
        <f aca="false">IF(OR(E53="",G53="",G53=0),"",E53/G53)</f>
        <v/>
      </c>
      <c r="R53" s="21" t="str">
        <f aca="false">IF(OR(O53="",$P$3=""),"",O53-$P$3)</f>
        <v/>
      </c>
      <c r="S53" s="4"/>
      <c r="T53" s="4"/>
      <c r="U53" s="4"/>
      <c r="V53" s="17"/>
      <c r="W53" s="4"/>
    </row>
    <row r="54" customFormat="false" ht="15" hidden="false" customHeight="false" outlineLevel="0" collapsed="false">
      <c r="A54" s="8" t="str">
        <f aca="false">Connections!A52</f>
        <v>Q2</v>
      </c>
      <c r="B54" s="8" t="n">
        <f aca="false">Connections!D52</f>
        <v>29</v>
      </c>
      <c r="C54" s="8" t="n">
        <f aca="false">IF(Connections!E52="","",Connections!E52)</f>
        <v>29</v>
      </c>
      <c r="D54" s="8" t="str">
        <f aca="false">IF(Connections!B52="","",Connections!B52)</f>
        <v/>
      </c>
      <c r="E54" s="4"/>
      <c r="F54" s="4"/>
      <c r="G54" s="4"/>
      <c r="H54" s="23" t="str">
        <f aca="false">IF(G54="","",G54/2)</f>
        <v/>
      </c>
      <c r="I54" s="4"/>
      <c r="J54" s="4"/>
      <c r="K54" s="4"/>
      <c r="L54" s="23" t="str">
        <f aca="false">IF(K54="","",K54/2)</f>
        <v/>
      </c>
      <c r="M54" s="4"/>
      <c r="N54" s="22" t="str">
        <f aca="false">IF(OR(G54="",K54="",$K$2="",$K$3=""),"",(K54-G54)/($K$3-$K$2))</f>
        <v/>
      </c>
      <c r="O54" s="21" t="str">
        <f aca="false">IF(N54="","",IF(N54&lt;=0,"",$K$2-G54/N54))</f>
        <v/>
      </c>
      <c r="P54" s="23" t="str">
        <f aca="false">IF(N54="","",3*N54)</f>
        <v/>
      </c>
      <c r="Q54" s="19" t="str">
        <f aca="false">IF(OR(E54="",G54="",G54=0),"",E54/G54)</f>
        <v/>
      </c>
      <c r="R54" s="21" t="str">
        <f aca="false">IF(OR(O54="",$P$3=""),"",O54-$P$3)</f>
        <v/>
      </c>
      <c r="S54" s="4"/>
      <c r="T54" s="4"/>
      <c r="U54" s="4"/>
      <c r="V54" s="17"/>
      <c r="W54" s="4"/>
    </row>
    <row r="55" customFormat="false" ht="15" hidden="false" customHeight="false" outlineLevel="0" collapsed="false">
      <c r="A55" s="8" t="str">
        <f aca="false">Connections!A53</f>
        <v>Q2</v>
      </c>
      <c r="B55" s="8" t="n">
        <f aca="false">Connections!D53</f>
        <v>30</v>
      </c>
      <c r="C55" s="8" t="n">
        <f aca="false">IF(Connections!E53="","",Connections!E53)</f>
        <v>30</v>
      </c>
      <c r="D55" s="8" t="str">
        <f aca="false">IF(Connections!B53="","",Connections!B53)</f>
        <v/>
      </c>
      <c r="E55" s="4"/>
      <c r="F55" s="4"/>
      <c r="G55" s="4"/>
      <c r="H55" s="23" t="str">
        <f aca="false">IF(G55="","",G55/2)</f>
        <v/>
      </c>
      <c r="I55" s="4"/>
      <c r="J55" s="4"/>
      <c r="K55" s="4"/>
      <c r="L55" s="23" t="str">
        <f aca="false">IF(K55="","",K55/2)</f>
        <v/>
      </c>
      <c r="M55" s="4"/>
      <c r="N55" s="22" t="str">
        <f aca="false">IF(OR(G55="",K55="",$K$2="",$K$3=""),"",(K55-G55)/($K$3-$K$2))</f>
        <v/>
      </c>
      <c r="O55" s="21" t="str">
        <f aca="false">IF(N55="","",IF(N55&lt;=0,"",$K$2-G55/N55))</f>
        <v/>
      </c>
      <c r="P55" s="23" t="str">
        <f aca="false">IF(N55="","",3*N55)</f>
        <v/>
      </c>
      <c r="Q55" s="19" t="str">
        <f aca="false">IF(OR(E55="",G55="",G55=0),"",E55/G55)</f>
        <v/>
      </c>
      <c r="R55" s="21" t="str">
        <f aca="false">IF(OR(O55="",$P$3=""),"",O55-$P$3)</f>
        <v/>
      </c>
      <c r="S55" s="4"/>
      <c r="T55" s="4"/>
      <c r="U55" s="4"/>
      <c r="V55" s="17"/>
      <c r="W55" s="4"/>
    </row>
    <row r="56" customFormat="false" ht="15" hidden="false" customHeight="false" outlineLevel="0" collapsed="false">
      <c r="A56" s="8" t="str">
        <f aca="false">Connections!A54</f>
        <v>Q3</v>
      </c>
      <c r="B56" s="8" t="n">
        <f aca="false">Connections!D54</f>
        <v>1</v>
      </c>
      <c r="C56" s="8" t="n">
        <f aca="false">IF(Connections!E54="","",Connections!E54)</f>
        <v>1</v>
      </c>
      <c r="D56" s="8" t="str">
        <f aca="false">IF(Connections!B54="","",Connections!B54)</f>
        <v/>
      </c>
      <c r="E56" s="4"/>
      <c r="F56" s="4"/>
      <c r="G56" s="4"/>
      <c r="H56" s="23" t="str">
        <f aca="false">IF(G56="","",G56/2)</f>
        <v/>
      </c>
      <c r="I56" s="4"/>
      <c r="J56" s="4"/>
      <c r="K56" s="4"/>
      <c r="L56" s="23" t="str">
        <f aca="false">IF(K56="","",K56/2)</f>
        <v/>
      </c>
      <c r="M56" s="4"/>
      <c r="N56" s="22" t="str">
        <f aca="false">IF(OR(G56="",K56="",$K$2="",$K$3=""),"",(K56-G56)/($K$3-$K$2))</f>
        <v/>
      </c>
      <c r="O56" s="21" t="str">
        <f aca="false">IF(N56="","",IF(N56&lt;=0,"",$K$2-G56/N56))</f>
        <v/>
      </c>
      <c r="P56" s="23" t="str">
        <f aca="false">IF(N56="","",3*N56)</f>
        <v/>
      </c>
      <c r="Q56" s="19" t="str">
        <f aca="false">IF(OR(E56="",G56="",G56=0),"",E56/G56)</f>
        <v/>
      </c>
      <c r="R56" s="21" t="str">
        <f aca="false">IF(OR(O56="",$P$3=""),"",O56-$P$3)</f>
        <v/>
      </c>
      <c r="S56" s="4"/>
      <c r="T56" s="4"/>
      <c r="U56" s="4"/>
      <c r="V56" s="17"/>
      <c r="W56" s="4"/>
    </row>
    <row r="57" customFormat="false" ht="15" hidden="false" customHeight="false" outlineLevel="0" collapsed="false">
      <c r="A57" s="8" t="str">
        <f aca="false">Connections!A55</f>
        <v>Q3</v>
      </c>
      <c r="B57" s="8" t="n">
        <f aca="false">Connections!D55</f>
        <v>2</v>
      </c>
      <c r="C57" s="8" t="n">
        <f aca="false">IF(Connections!E55="","",Connections!E55)</f>
        <v>2</v>
      </c>
      <c r="D57" s="8" t="str">
        <f aca="false">IF(Connections!B55="","",Connections!B55)</f>
        <v/>
      </c>
      <c r="E57" s="4"/>
      <c r="F57" s="4"/>
      <c r="G57" s="4"/>
      <c r="H57" s="23" t="str">
        <f aca="false">IF(G57="","",G57/2)</f>
        <v/>
      </c>
      <c r="I57" s="4"/>
      <c r="J57" s="4"/>
      <c r="K57" s="4"/>
      <c r="L57" s="23" t="str">
        <f aca="false">IF(K57="","",K57/2)</f>
        <v/>
      </c>
      <c r="M57" s="4"/>
      <c r="N57" s="22" t="str">
        <f aca="false">IF(OR(G57="",K57="",$K$2="",$K$3=""),"",(K57-G57)/($K$3-$K$2))</f>
        <v/>
      </c>
      <c r="O57" s="21" t="str">
        <f aca="false">IF(N57="","",IF(N57&lt;=0,"",$K$2-G57/N57))</f>
        <v/>
      </c>
      <c r="P57" s="23" t="str">
        <f aca="false">IF(N57="","",3*N57)</f>
        <v/>
      </c>
      <c r="Q57" s="19" t="str">
        <f aca="false">IF(OR(E57="",G57="",G57=0),"",E57/G57)</f>
        <v/>
      </c>
      <c r="R57" s="21" t="str">
        <f aca="false">IF(OR(O57="",$P$3=""),"",O57-$P$3)</f>
        <v/>
      </c>
      <c r="S57" s="4"/>
      <c r="T57" s="4"/>
      <c r="U57" s="4"/>
      <c r="V57" s="17"/>
      <c r="W57" s="4"/>
    </row>
    <row r="58" customFormat="false" ht="15" hidden="false" customHeight="false" outlineLevel="0" collapsed="false">
      <c r="A58" s="8" t="str">
        <f aca="false">Connections!A56</f>
        <v>Q3</v>
      </c>
      <c r="B58" s="8" t="n">
        <f aca="false">Connections!D56</f>
        <v>3</v>
      </c>
      <c r="C58" s="8" t="n">
        <f aca="false">IF(Connections!E56="","",Connections!E56)</f>
        <v>3</v>
      </c>
      <c r="D58" s="8" t="str">
        <f aca="false">IF(Connections!B56="","",Connections!B56)</f>
        <v/>
      </c>
      <c r="E58" s="4"/>
      <c r="F58" s="4"/>
      <c r="G58" s="4"/>
      <c r="H58" s="23" t="str">
        <f aca="false">IF(G58="","",G58/2)</f>
        <v/>
      </c>
      <c r="I58" s="4"/>
      <c r="J58" s="4"/>
      <c r="K58" s="4"/>
      <c r="L58" s="23" t="str">
        <f aca="false">IF(K58="","",K58/2)</f>
        <v/>
      </c>
      <c r="M58" s="4"/>
      <c r="N58" s="22" t="str">
        <f aca="false">IF(OR(G58="",K58="",$K$2="",$K$3=""),"",(K58-G58)/($K$3-$K$2))</f>
        <v/>
      </c>
      <c r="O58" s="21" t="str">
        <f aca="false">IF(N58="","",IF(N58&lt;=0,"",$K$2-G58/N58))</f>
        <v/>
      </c>
      <c r="P58" s="23" t="str">
        <f aca="false">IF(N58="","",3*N58)</f>
        <v/>
      </c>
      <c r="Q58" s="19" t="str">
        <f aca="false">IF(OR(E58="",G58="",G58=0),"",E58/G58)</f>
        <v/>
      </c>
      <c r="R58" s="21" t="str">
        <f aca="false">IF(OR(O58="",$P$3=""),"",O58-$P$3)</f>
        <v/>
      </c>
      <c r="S58" s="4"/>
      <c r="T58" s="4"/>
      <c r="U58" s="4"/>
      <c r="V58" s="17"/>
      <c r="W58" s="4"/>
    </row>
    <row r="59" customFormat="false" ht="15" hidden="false" customHeight="false" outlineLevel="0" collapsed="false">
      <c r="A59" s="8" t="str">
        <f aca="false">Connections!A57</f>
        <v>Q3</v>
      </c>
      <c r="B59" s="8" t="n">
        <f aca="false">Connections!D57</f>
        <v>4</v>
      </c>
      <c r="C59" s="8" t="n">
        <f aca="false">IF(Connections!E57="","",Connections!E57)</f>
        <v>4</v>
      </c>
      <c r="D59" s="8" t="str">
        <f aca="false">IF(Connections!B57="","",Connections!B57)</f>
        <v/>
      </c>
      <c r="E59" s="4"/>
      <c r="F59" s="4"/>
      <c r="G59" s="4"/>
      <c r="H59" s="23" t="str">
        <f aca="false">IF(G59="","",G59/2)</f>
        <v/>
      </c>
      <c r="I59" s="4"/>
      <c r="J59" s="4"/>
      <c r="K59" s="4"/>
      <c r="L59" s="23" t="str">
        <f aca="false">IF(K59="","",K59/2)</f>
        <v/>
      </c>
      <c r="M59" s="4"/>
      <c r="N59" s="22" t="str">
        <f aca="false">IF(OR(G59="",K59="",$K$2="",$K$3=""),"",(K59-G59)/($K$3-$K$2))</f>
        <v/>
      </c>
      <c r="O59" s="21" t="str">
        <f aca="false">IF(N59="","",IF(N59&lt;=0,"",$K$2-G59/N59))</f>
        <v/>
      </c>
      <c r="P59" s="23" t="str">
        <f aca="false">IF(N59="","",3*N59)</f>
        <v/>
      </c>
      <c r="Q59" s="19" t="str">
        <f aca="false">IF(OR(E59="",G59="",G59=0),"",E59/G59)</f>
        <v/>
      </c>
      <c r="R59" s="21" t="str">
        <f aca="false">IF(OR(O59="",$P$3=""),"",O59-$P$3)</f>
        <v/>
      </c>
      <c r="S59" s="4"/>
      <c r="T59" s="4"/>
      <c r="U59" s="4"/>
      <c r="V59" s="17"/>
      <c r="W59" s="4"/>
    </row>
    <row r="60" customFormat="false" ht="15" hidden="false" customHeight="false" outlineLevel="0" collapsed="false">
      <c r="A60" s="8" t="str">
        <f aca="false">Connections!A58</f>
        <v>Q3</v>
      </c>
      <c r="B60" s="8" t="n">
        <f aca="false">Connections!D58</f>
        <v>5</v>
      </c>
      <c r="C60" s="8" t="n">
        <f aca="false">IF(Connections!E58="","",Connections!E58)</f>
        <v>5</v>
      </c>
      <c r="D60" s="8" t="str">
        <f aca="false">IF(Connections!B58="","",Connections!B58)</f>
        <v/>
      </c>
      <c r="E60" s="4"/>
      <c r="F60" s="4"/>
      <c r="G60" s="4"/>
      <c r="H60" s="23" t="str">
        <f aca="false">IF(G60="","",G60/2)</f>
        <v/>
      </c>
      <c r="I60" s="4"/>
      <c r="J60" s="4"/>
      <c r="K60" s="4"/>
      <c r="L60" s="23" t="str">
        <f aca="false">IF(K60="","",K60/2)</f>
        <v/>
      </c>
      <c r="M60" s="4"/>
      <c r="N60" s="22" t="str">
        <f aca="false">IF(OR(G60="",K60="",$K$2="",$K$3=""),"",(K60-G60)/($K$3-$K$2))</f>
        <v/>
      </c>
      <c r="O60" s="21" t="str">
        <f aca="false">IF(N60="","",IF(N60&lt;=0,"",$K$2-G60/N60))</f>
        <v/>
      </c>
      <c r="P60" s="23" t="str">
        <f aca="false">IF(N60="","",3*N60)</f>
        <v/>
      </c>
      <c r="Q60" s="19" t="str">
        <f aca="false">IF(OR(E60="",G60="",G60=0),"",E60/G60)</f>
        <v/>
      </c>
      <c r="R60" s="21" t="str">
        <f aca="false">IF(OR(O60="",$P$3=""),"",O60-$P$3)</f>
        <v/>
      </c>
      <c r="S60" s="4"/>
      <c r="T60" s="4"/>
      <c r="U60" s="4"/>
      <c r="V60" s="17"/>
      <c r="W60" s="4"/>
    </row>
    <row r="61" customFormat="false" ht="15" hidden="false" customHeight="false" outlineLevel="0" collapsed="false">
      <c r="A61" s="8" t="str">
        <f aca="false">Connections!A59</f>
        <v>Q3</v>
      </c>
      <c r="B61" s="8" t="n">
        <f aca="false">Connections!D59</f>
        <v>6</v>
      </c>
      <c r="C61" s="8" t="n">
        <f aca="false">IF(Connections!E59="","",Connections!E59)</f>
        <v>6</v>
      </c>
      <c r="D61" s="8" t="str">
        <f aca="false">IF(Connections!B59="","",Connections!B59)</f>
        <v/>
      </c>
      <c r="E61" s="4"/>
      <c r="F61" s="4"/>
      <c r="G61" s="4"/>
      <c r="H61" s="23" t="str">
        <f aca="false">IF(G61="","",G61/2)</f>
        <v/>
      </c>
      <c r="I61" s="4"/>
      <c r="J61" s="4"/>
      <c r="K61" s="4"/>
      <c r="L61" s="23" t="str">
        <f aca="false">IF(K61="","",K61/2)</f>
        <v/>
      </c>
      <c r="M61" s="4"/>
      <c r="N61" s="22" t="str">
        <f aca="false">IF(OR(G61="",K61="",$K$2="",$K$3=""),"",(K61-G61)/($K$3-$K$2))</f>
        <v/>
      </c>
      <c r="O61" s="21" t="str">
        <f aca="false">IF(N61="","",IF(N61&lt;=0,"",$K$2-G61/N61))</f>
        <v/>
      </c>
      <c r="P61" s="23" t="str">
        <f aca="false">IF(N61="","",3*N61)</f>
        <v/>
      </c>
      <c r="Q61" s="19" t="str">
        <f aca="false">IF(OR(E61="",G61="",G61=0),"",E61/G61)</f>
        <v/>
      </c>
      <c r="R61" s="21" t="str">
        <f aca="false">IF(OR(O61="",$P$3=""),"",O61-$P$3)</f>
        <v/>
      </c>
      <c r="S61" s="4"/>
      <c r="T61" s="4"/>
      <c r="U61" s="4"/>
      <c r="V61" s="17"/>
      <c r="W61" s="4"/>
    </row>
    <row r="62" customFormat="false" ht="15" hidden="false" customHeight="false" outlineLevel="0" collapsed="false">
      <c r="A62" s="8" t="str">
        <f aca="false">Connections!A60</f>
        <v>Q3</v>
      </c>
      <c r="B62" s="8" t="n">
        <f aca="false">Connections!D60</f>
        <v>7</v>
      </c>
      <c r="C62" s="8" t="n">
        <f aca="false">IF(Connections!E60="","",Connections!E60)</f>
        <v>7</v>
      </c>
      <c r="D62" s="8" t="str">
        <f aca="false">IF(Connections!B60="","",Connections!B60)</f>
        <v/>
      </c>
      <c r="E62" s="4"/>
      <c r="F62" s="4"/>
      <c r="G62" s="4"/>
      <c r="H62" s="23" t="str">
        <f aca="false">IF(G62="","",G62/2)</f>
        <v/>
      </c>
      <c r="I62" s="4"/>
      <c r="J62" s="4"/>
      <c r="K62" s="4"/>
      <c r="L62" s="23" t="str">
        <f aca="false">IF(K62="","",K62/2)</f>
        <v/>
      </c>
      <c r="M62" s="4"/>
      <c r="N62" s="22" t="str">
        <f aca="false">IF(OR(G62="",K62="",$K$2="",$K$3=""),"",(K62-G62)/($K$3-$K$2))</f>
        <v/>
      </c>
      <c r="O62" s="21" t="str">
        <f aca="false">IF(N62="","",IF(N62&lt;=0,"",$K$2-G62/N62))</f>
        <v/>
      </c>
      <c r="P62" s="23" t="str">
        <f aca="false">IF(N62="","",3*N62)</f>
        <v/>
      </c>
      <c r="Q62" s="19" t="str">
        <f aca="false">IF(OR(E62="",G62="",G62=0),"",E62/G62)</f>
        <v/>
      </c>
      <c r="R62" s="21" t="str">
        <f aca="false">IF(OR(O62="",$P$3=""),"",O62-$P$3)</f>
        <v/>
      </c>
      <c r="S62" s="4"/>
      <c r="T62" s="4"/>
      <c r="U62" s="4"/>
      <c r="V62" s="17"/>
      <c r="W62" s="4"/>
    </row>
    <row r="63" customFormat="false" ht="15" hidden="false" customHeight="false" outlineLevel="0" collapsed="false">
      <c r="A63" s="8" t="str">
        <f aca="false">Connections!A61</f>
        <v>Q3</v>
      </c>
      <c r="B63" s="8" t="n">
        <f aca="false">Connections!D61</f>
        <v>8</v>
      </c>
      <c r="C63" s="8" t="n">
        <f aca="false">IF(Connections!E61="","",Connections!E61)</f>
        <v>8</v>
      </c>
      <c r="D63" s="8" t="str">
        <f aca="false">IF(Connections!B61="","",Connections!B61)</f>
        <v/>
      </c>
      <c r="E63" s="4"/>
      <c r="F63" s="4"/>
      <c r="G63" s="4"/>
      <c r="H63" s="23" t="str">
        <f aca="false">IF(G63="","",G63/2)</f>
        <v/>
      </c>
      <c r="I63" s="4"/>
      <c r="J63" s="4"/>
      <c r="K63" s="4"/>
      <c r="L63" s="23" t="str">
        <f aca="false">IF(K63="","",K63/2)</f>
        <v/>
      </c>
      <c r="M63" s="4"/>
      <c r="N63" s="22" t="str">
        <f aca="false">IF(OR(G63="",K63="",$K$2="",$K$3=""),"",(K63-G63)/($K$3-$K$2))</f>
        <v/>
      </c>
      <c r="O63" s="21" t="str">
        <f aca="false">IF(N63="","",IF(N63&lt;=0,"",$K$2-G63/N63))</f>
        <v/>
      </c>
      <c r="P63" s="23" t="str">
        <f aca="false">IF(N63="","",3*N63)</f>
        <v/>
      </c>
      <c r="Q63" s="19" t="str">
        <f aca="false">IF(OR(E63="",G63="",G63=0),"",E63/G63)</f>
        <v/>
      </c>
      <c r="R63" s="21" t="str">
        <f aca="false">IF(OR(O63="",$P$3=""),"",O63-$P$3)</f>
        <v/>
      </c>
      <c r="S63" s="4"/>
      <c r="T63" s="4"/>
      <c r="U63" s="4"/>
      <c r="V63" s="17"/>
      <c r="W63" s="4"/>
    </row>
    <row r="64" customFormat="false" ht="15" hidden="false" customHeight="false" outlineLevel="0" collapsed="false">
      <c r="A64" s="8" t="str">
        <f aca="false">Connections!A62</f>
        <v>Q3</v>
      </c>
      <c r="B64" s="8" t="n">
        <f aca="false">Connections!D62</f>
        <v>9</v>
      </c>
      <c r="C64" s="8" t="n">
        <f aca="false">IF(Connections!E62="","",Connections!E62)</f>
        <v>9</v>
      </c>
      <c r="D64" s="8" t="str">
        <f aca="false">IF(Connections!B62="","",Connections!B62)</f>
        <v/>
      </c>
      <c r="E64" s="4"/>
      <c r="F64" s="4"/>
      <c r="G64" s="4"/>
      <c r="H64" s="23" t="str">
        <f aca="false">IF(G64="","",G64/2)</f>
        <v/>
      </c>
      <c r="I64" s="4"/>
      <c r="J64" s="4"/>
      <c r="K64" s="4"/>
      <c r="L64" s="23" t="str">
        <f aca="false">IF(K64="","",K64/2)</f>
        <v/>
      </c>
      <c r="M64" s="4"/>
      <c r="N64" s="22" t="str">
        <f aca="false">IF(OR(G64="",K64="",$K$2="",$K$3=""),"",(K64-G64)/($K$3-$K$2))</f>
        <v/>
      </c>
      <c r="O64" s="21" t="str">
        <f aca="false">IF(N64="","",IF(N64&lt;=0,"",$K$2-G64/N64))</f>
        <v/>
      </c>
      <c r="P64" s="23" t="str">
        <f aca="false">IF(N64="","",3*N64)</f>
        <v/>
      </c>
      <c r="Q64" s="19" t="str">
        <f aca="false">IF(OR(E64="",G64="",G64=0),"",E64/G64)</f>
        <v/>
      </c>
      <c r="R64" s="21" t="str">
        <f aca="false">IF(OR(O64="",$P$3=""),"",O64-$P$3)</f>
        <v/>
      </c>
      <c r="S64" s="4"/>
      <c r="T64" s="4"/>
      <c r="U64" s="4"/>
      <c r="V64" s="17"/>
      <c r="W64" s="4"/>
    </row>
    <row r="65" customFormat="false" ht="15" hidden="false" customHeight="false" outlineLevel="0" collapsed="false">
      <c r="A65" s="8" t="str">
        <f aca="false">Connections!A63</f>
        <v>Q3</v>
      </c>
      <c r="B65" s="8" t="n">
        <f aca="false">Connections!D63</f>
        <v>10</v>
      </c>
      <c r="C65" s="8" t="n">
        <f aca="false">IF(Connections!E63="","",Connections!E63)</f>
        <v>10</v>
      </c>
      <c r="D65" s="8" t="str">
        <f aca="false">IF(Connections!B63="","",Connections!B63)</f>
        <v/>
      </c>
      <c r="E65" s="4"/>
      <c r="F65" s="4"/>
      <c r="G65" s="4"/>
      <c r="H65" s="23" t="str">
        <f aca="false">IF(G65="","",G65/2)</f>
        <v/>
      </c>
      <c r="I65" s="4"/>
      <c r="J65" s="4"/>
      <c r="K65" s="4"/>
      <c r="L65" s="23" t="str">
        <f aca="false">IF(K65="","",K65/2)</f>
        <v/>
      </c>
      <c r="M65" s="4"/>
      <c r="N65" s="22" t="str">
        <f aca="false">IF(OR(G65="",K65="",$K$2="",$K$3=""),"",(K65-G65)/($K$3-$K$2))</f>
        <v/>
      </c>
      <c r="O65" s="21" t="str">
        <f aca="false">IF(N65="","",IF(N65&lt;=0,"",$K$2-G65/N65))</f>
        <v/>
      </c>
      <c r="P65" s="23" t="str">
        <f aca="false">IF(N65="","",3*N65)</f>
        <v/>
      </c>
      <c r="Q65" s="19" t="str">
        <f aca="false">IF(OR(E65="",G65="",G65=0),"",E65/G65)</f>
        <v/>
      </c>
      <c r="R65" s="21" t="str">
        <f aca="false">IF(OR(O65="",$P$3=""),"",O65-$P$3)</f>
        <v/>
      </c>
      <c r="S65" s="4"/>
      <c r="T65" s="4"/>
      <c r="U65" s="4"/>
      <c r="V65" s="17"/>
      <c r="W65" s="4"/>
    </row>
    <row r="66" customFormat="false" ht="15" hidden="false" customHeight="false" outlineLevel="0" collapsed="false">
      <c r="A66" s="8" t="str">
        <f aca="false">Connections!A64</f>
        <v>Q3</v>
      </c>
      <c r="B66" s="8" t="n">
        <f aca="false">Connections!D64</f>
        <v>11</v>
      </c>
      <c r="C66" s="8" t="n">
        <f aca="false">IF(Connections!E64="","",Connections!E64)</f>
        <v>11</v>
      </c>
      <c r="D66" s="8" t="str">
        <f aca="false">IF(Connections!B64="","",Connections!B64)</f>
        <v/>
      </c>
      <c r="E66" s="4"/>
      <c r="F66" s="4"/>
      <c r="G66" s="4"/>
      <c r="H66" s="23" t="str">
        <f aca="false">IF(G66="","",G66/2)</f>
        <v/>
      </c>
      <c r="I66" s="4"/>
      <c r="J66" s="4"/>
      <c r="K66" s="4"/>
      <c r="L66" s="23" t="str">
        <f aca="false">IF(K66="","",K66/2)</f>
        <v/>
      </c>
      <c r="M66" s="4"/>
      <c r="N66" s="22" t="str">
        <f aca="false">IF(OR(G66="",K66="",$K$2="",$K$3=""),"",(K66-G66)/($K$3-$K$2))</f>
        <v/>
      </c>
      <c r="O66" s="21" t="str">
        <f aca="false">IF(N66="","",IF(N66&lt;=0,"",$K$2-G66/N66))</f>
        <v/>
      </c>
      <c r="P66" s="23" t="str">
        <f aca="false">IF(N66="","",3*N66)</f>
        <v/>
      </c>
      <c r="Q66" s="19" t="str">
        <f aca="false">IF(OR(E66="",G66="",G66=0),"",E66/G66)</f>
        <v/>
      </c>
      <c r="R66" s="21" t="str">
        <f aca="false">IF(OR(O66="",$P$3=""),"",O66-$P$3)</f>
        <v/>
      </c>
      <c r="S66" s="4"/>
      <c r="T66" s="4"/>
      <c r="U66" s="4"/>
      <c r="V66" s="17"/>
      <c r="W66" s="4"/>
    </row>
    <row r="67" customFormat="false" ht="15" hidden="false" customHeight="false" outlineLevel="0" collapsed="false">
      <c r="A67" s="8" t="str">
        <f aca="false">Connections!A65</f>
        <v>Q3</v>
      </c>
      <c r="B67" s="8" t="n">
        <f aca="false">Connections!D65</f>
        <v>12</v>
      </c>
      <c r="C67" s="8" t="n">
        <f aca="false">IF(Connections!E65="","",Connections!E65)</f>
        <v>12</v>
      </c>
      <c r="D67" s="8" t="str">
        <f aca="false">IF(Connections!B65="","",Connections!B65)</f>
        <v/>
      </c>
      <c r="E67" s="4"/>
      <c r="F67" s="4"/>
      <c r="G67" s="4"/>
      <c r="H67" s="23" t="str">
        <f aca="false">IF(G67="","",G67/2)</f>
        <v/>
      </c>
      <c r="I67" s="4"/>
      <c r="J67" s="4"/>
      <c r="K67" s="4"/>
      <c r="L67" s="23" t="str">
        <f aca="false">IF(K67="","",K67/2)</f>
        <v/>
      </c>
      <c r="M67" s="4"/>
      <c r="N67" s="22" t="str">
        <f aca="false">IF(OR(G67="",K67="",$K$2="",$K$3=""),"",(K67-G67)/($K$3-$K$2))</f>
        <v/>
      </c>
      <c r="O67" s="21" t="str">
        <f aca="false">IF(N67="","",IF(N67&lt;=0,"",$K$2-G67/N67))</f>
        <v/>
      </c>
      <c r="P67" s="23" t="str">
        <f aca="false">IF(N67="","",3*N67)</f>
        <v/>
      </c>
      <c r="Q67" s="19" t="str">
        <f aca="false">IF(OR(E67="",G67="",G67=0),"",E67/G67)</f>
        <v/>
      </c>
      <c r="R67" s="21" t="str">
        <f aca="false">IF(OR(O67="",$P$3=""),"",O67-$P$3)</f>
        <v/>
      </c>
      <c r="S67" s="4"/>
      <c r="T67" s="4"/>
      <c r="U67" s="4"/>
      <c r="V67" s="17"/>
      <c r="W67" s="4"/>
    </row>
    <row r="68" customFormat="false" ht="15" hidden="false" customHeight="false" outlineLevel="0" collapsed="false">
      <c r="A68" s="8" t="str">
        <f aca="false">Connections!A66</f>
        <v>Q3</v>
      </c>
      <c r="B68" s="8" t="n">
        <f aca="false">Connections!D66</f>
        <v>13</v>
      </c>
      <c r="C68" s="8" t="n">
        <f aca="false">IF(Connections!E66="","",Connections!E66)</f>
        <v>13</v>
      </c>
      <c r="D68" s="8" t="str">
        <f aca="false">IF(Connections!B66="","",Connections!B66)</f>
        <v/>
      </c>
      <c r="E68" s="4"/>
      <c r="F68" s="4"/>
      <c r="G68" s="4"/>
      <c r="H68" s="23" t="str">
        <f aca="false">IF(G68="","",G68/2)</f>
        <v/>
      </c>
      <c r="I68" s="4"/>
      <c r="J68" s="4"/>
      <c r="K68" s="4"/>
      <c r="L68" s="23" t="str">
        <f aca="false">IF(K68="","",K68/2)</f>
        <v/>
      </c>
      <c r="M68" s="4"/>
      <c r="N68" s="22" t="str">
        <f aca="false">IF(OR(G68="",K68="",$K$2="",$K$3=""),"",(K68-G68)/($K$3-$K$2))</f>
        <v/>
      </c>
      <c r="O68" s="21" t="str">
        <f aca="false">IF(N68="","",IF(N68&lt;=0,"",$K$2-G68/N68))</f>
        <v/>
      </c>
      <c r="P68" s="23" t="str">
        <f aca="false">IF(N68="","",3*N68)</f>
        <v/>
      </c>
      <c r="Q68" s="19" t="str">
        <f aca="false">IF(OR(E68="",G68="",G68=0),"",E68/G68)</f>
        <v/>
      </c>
      <c r="R68" s="21" t="str">
        <f aca="false">IF(OR(O68="",$P$3=""),"",O68-$P$3)</f>
        <v/>
      </c>
      <c r="S68" s="4"/>
      <c r="T68" s="4"/>
      <c r="U68" s="4"/>
      <c r="V68" s="17"/>
      <c r="W68" s="4"/>
    </row>
    <row r="69" customFormat="false" ht="15" hidden="false" customHeight="false" outlineLevel="0" collapsed="false">
      <c r="A69" s="8" t="str">
        <f aca="false">Connections!A67</f>
        <v>Q3</v>
      </c>
      <c r="B69" s="8" t="n">
        <f aca="false">Connections!D67</f>
        <v>14</v>
      </c>
      <c r="C69" s="8" t="n">
        <f aca="false">IF(Connections!E67="","",Connections!E67)</f>
        <v>14</v>
      </c>
      <c r="D69" s="8" t="str">
        <f aca="false">IF(Connections!B67="","",Connections!B67)</f>
        <v/>
      </c>
      <c r="E69" s="4"/>
      <c r="F69" s="4"/>
      <c r="G69" s="4"/>
      <c r="H69" s="23" t="str">
        <f aca="false">IF(G69="","",G69/2)</f>
        <v/>
      </c>
      <c r="I69" s="4"/>
      <c r="J69" s="4"/>
      <c r="K69" s="4"/>
      <c r="L69" s="23" t="str">
        <f aca="false">IF(K69="","",K69/2)</f>
        <v/>
      </c>
      <c r="M69" s="4"/>
      <c r="N69" s="22" t="str">
        <f aca="false">IF(OR(G69="",K69="",$K$2="",$K$3=""),"",(K69-G69)/($K$3-$K$2))</f>
        <v/>
      </c>
      <c r="O69" s="21" t="str">
        <f aca="false">IF(N69="","",IF(N69&lt;=0,"",$K$2-G69/N69))</f>
        <v/>
      </c>
      <c r="P69" s="23" t="str">
        <f aca="false">IF(N69="","",3*N69)</f>
        <v/>
      </c>
      <c r="Q69" s="19" t="str">
        <f aca="false">IF(OR(E69="",G69="",G69=0),"",E69/G69)</f>
        <v/>
      </c>
      <c r="R69" s="21" t="str">
        <f aca="false">IF(OR(O69="",$P$3=""),"",O69-$P$3)</f>
        <v/>
      </c>
      <c r="S69" s="4"/>
      <c r="T69" s="4"/>
      <c r="U69" s="4"/>
      <c r="V69" s="17"/>
      <c r="W69" s="4"/>
    </row>
    <row r="70" customFormat="false" ht="15" hidden="false" customHeight="false" outlineLevel="0" collapsed="false">
      <c r="A70" s="8" t="str">
        <f aca="false">Connections!A68</f>
        <v>Q3</v>
      </c>
      <c r="B70" s="8" t="n">
        <f aca="false">Connections!D68</f>
        <v>15</v>
      </c>
      <c r="C70" s="8" t="n">
        <f aca="false">IF(Connections!E68="","",Connections!E68)</f>
        <v>15</v>
      </c>
      <c r="D70" s="8" t="str">
        <f aca="false">IF(Connections!B68="","",Connections!B68)</f>
        <v/>
      </c>
      <c r="E70" s="4"/>
      <c r="F70" s="4"/>
      <c r="G70" s="4"/>
      <c r="H70" s="23" t="str">
        <f aca="false">IF(G70="","",G70/2)</f>
        <v/>
      </c>
      <c r="I70" s="4"/>
      <c r="J70" s="4"/>
      <c r="K70" s="4"/>
      <c r="L70" s="23" t="str">
        <f aca="false">IF(K70="","",K70/2)</f>
        <v/>
      </c>
      <c r="M70" s="4"/>
      <c r="N70" s="22" t="str">
        <f aca="false">IF(OR(G70="",K70="",$K$2="",$K$3=""),"",(K70-G70)/($K$3-$K$2))</f>
        <v/>
      </c>
      <c r="O70" s="21" t="str">
        <f aca="false">IF(N70="","",IF(N70&lt;=0,"",$K$2-G70/N70))</f>
        <v/>
      </c>
      <c r="P70" s="23" t="str">
        <f aca="false">IF(N70="","",3*N70)</f>
        <v/>
      </c>
      <c r="Q70" s="19" t="str">
        <f aca="false">IF(OR(E70="",G70="",G70=0),"",E70/G70)</f>
        <v/>
      </c>
      <c r="R70" s="21" t="str">
        <f aca="false">IF(OR(O70="",$P$3=""),"",O70-$P$3)</f>
        <v/>
      </c>
      <c r="S70" s="4"/>
      <c r="T70" s="4"/>
      <c r="U70" s="4"/>
      <c r="V70" s="17"/>
      <c r="W70" s="4"/>
    </row>
    <row r="71" customFormat="false" ht="15" hidden="false" customHeight="false" outlineLevel="0" collapsed="false">
      <c r="A71" s="8" t="str">
        <f aca="false">Connections!A69</f>
        <v>Q3</v>
      </c>
      <c r="B71" s="8" t="n">
        <f aca="false">Connections!D69</f>
        <v>16</v>
      </c>
      <c r="C71" s="8" t="n">
        <f aca="false">IF(Connections!E69="","",Connections!E69)</f>
        <v>16</v>
      </c>
      <c r="D71" s="8" t="str">
        <f aca="false">IF(Connections!B69="","",Connections!B69)</f>
        <v/>
      </c>
      <c r="E71" s="4"/>
      <c r="F71" s="4"/>
      <c r="G71" s="4"/>
      <c r="H71" s="23" t="str">
        <f aca="false">IF(G71="","",G71/2)</f>
        <v/>
      </c>
      <c r="I71" s="4"/>
      <c r="J71" s="4"/>
      <c r="K71" s="4"/>
      <c r="L71" s="23" t="str">
        <f aca="false">IF(K71="","",K71/2)</f>
        <v/>
      </c>
      <c r="M71" s="4"/>
      <c r="N71" s="22" t="str">
        <f aca="false">IF(OR(G71="",K71="",$K$2="",$K$3=""),"",(K71-G71)/($K$3-$K$2))</f>
        <v/>
      </c>
      <c r="O71" s="21" t="str">
        <f aca="false">IF(N71="","",IF(N71&lt;=0,"",$K$2-G71/N71))</f>
        <v/>
      </c>
      <c r="P71" s="23" t="str">
        <f aca="false">IF(N71="","",3*N71)</f>
        <v/>
      </c>
      <c r="Q71" s="19" t="str">
        <f aca="false">IF(OR(E71="",G71="",G71=0),"",E71/G71)</f>
        <v/>
      </c>
      <c r="R71" s="21" t="str">
        <f aca="false">IF(OR(O71="",$P$3=""),"",O71-$P$3)</f>
        <v/>
      </c>
      <c r="S71" s="4"/>
      <c r="T71" s="4"/>
      <c r="U71" s="4"/>
      <c r="V71" s="17"/>
      <c r="W71" s="4"/>
    </row>
    <row r="72" customFormat="false" ht="15" hidden="false" customHeight="false" outlineLevel="0" collapsed="false">
      <c r="A72" s="8" t="str">
        <f aca="false">Connections!A70</f>
        <v>Q3</v>
      </c>
      <c r="B72" s="8" t="n">
        <f aca="false">Connections!D70</f>
        <v>23</v>
      </c>
      <c r="C72" s="8" t="n">
        <f aca="false">IF(Connections!E70="","",Connections!E70)</f>
        <v>23</v>
      </c>
      <c r="D72" s="8" t="str">
        <f aca="false">IF(Connections!B70="","",Connections!B70)</f>
        <v/>
      </c>
      <c r="E72" s="4"/>
      <c r="F72" s="4"/>
      <c r="G72" s="4"/>
      <c r="H72" s="23" t="str">
        <f aca="false">IF(G72="","",G72/2)</f>
        <v/>
      </c>
      <c r="I72" s="4"/>
      <c r="J72" s="4"/>
      <c r="K72" s="4"/>
      <c r="L72" s="23" t="str">
        <f aca="false">IF(K72="","",K72/2)</f>
        <v/>
      </c>
      <c r="M72" s="4"/>
      <c r="N72" s="22" t="str">
        <f aca="false">IF(OR(G72="",K72="",$K$2="",$K$3=""),"",(K72-G72)/($K$3-$K$2))</f>
        <v/>
      </c>
      <c r="O72" s="21" t="str">
        <f aca="false">IF(N72="","",IF(N72&lt;=0,"",$K$2-G72/N72))</f>
        <v/>
      </c>
      <c r="P72" s="23" t="str">
        <f aca="false">IF(N72="","",3*N72)</f>
        <v/>
      </c>
      <c r="Q72" s="19" t="str">
        <f aca="false">IF(OR(E72="",G72="",G72=0),"",E72/G72)</f>
        <v/>
      </c>
      <c r="R72" s="21" t="str">
        <f aca="false">IF(OR(O72="",$P$3=""),"",O72-$P$3)</f>
        <v/>
      </c>
      <c r="S72" s="4"/>
      <c r="T72" s="4"/>
      <c r="U72" s="4"/>
      <c r="V72" s="17"/>
      <c r="W72" s="4"/>
    </row>
    <row r="73" customFormat="false" ht="15" hidden="false" customHeight="false" outlineLevel="0" collapsed="false">
      <c r="A73" s="8" t="str">
        <f aca="false">Connections!A71</f>
        <v>Q3</v>
      </c>
      <c r="B73" s="8" t="n">
        <f aca="false">Connections!D71</f>
        <v>24</v>
      </c>
      <c r="C73" s="8" t="n">
        <f aca="false">IF(Connections!E71="","",Connections!E71)</f>
        <v>24</v>
      </c>
      <c r="D73" s="8" t="str">
        <f aca="false">IF(Connections!B71="","",Connections!B71)</f>
        <v/>
      </c>
      <c r="E73" s="4"/>
      <c r="F73" s="4"/>
      <c r="G73" s="4"/>
      <c r="H73" s="23" t="str">
        <f aca="false">IF(G73="","",G73/2)</f>
        <v/>
      </c>
      <c r="I73" s="4"/>
      <c r="J73" s="4"/>
      <c r="K73" s="4"/>
      <c r="L73" s="23" t="str">
        <f aca="false">IF(K73="","",K73/2)</f>
        <v/>
      </c>
      <c r="M73" s="4"/>
      <c r="N73" s="22" t="str">
        <f aca="false">IF(OR(G73="",K73="",$K$2="",$K$3=""),"",(K73-G73)/($K$3-$K$2))</f>
        <v/>
      </c>
      <c r="O73" s="21" t="str">
        <f aca="false">IF(N73="","",IF(N73&lt;=0,"",$K$2-G73/N73))</f>
        <v/>
      </c>
      <c r="P73" s="23" t="str">
        <f aca="false">IF(N73="","",3*N73)</f>
        <v/>
      </c>
      <c r="Q73" s="19" t="str">
        <f aca="false">IF(OR(E73="",G73="",G73=0),"",E73/G73)</f>
        <v/>
      </c>
      <c r="R73" s="21" t="str">
        <f aca="false">IF(OR(O73="",$P$3=""),"",O73-$P$3)</f>
        <v/>
      </c>
      <c r="S73" s="4"/>
      <c r="T73" s="4"/>
      <c r="U73" s="4"/>
      <c r="V73" s="17"/>
      <c r="W73" s="4"/>
    </row>
    <row r="74" customFormat="false" ht="15" hidden="false" customHeight="false" outlineLevel="0" collapsed="false">
      <c r="A74" s="8" t="str">
        <f aca="false">Connections!A72</f>
        <v>Q3</v>
      </c>
      <c r="B74" s="8" t="n">
        <f aca="false">Connections!D72</f>
        <v>25</v>
      </c>
      <c r="C74" s="8" t="n">
        <f aca="false">IF(Connections!E72="","",Connections!E72)</f>
        <v>25</v>
      </c>
      <c r="D74" s="8" t="str">
        <f aca="false">IF(Connections!B72="","",Connections!B72)</f>
        <v/>
      </c>
      <c r="E74" s="4"/>
      <c r="F74" s="4"/>
      <c r="G74" s="4"/>
      <c r="H74" s="23" t="str">
        <f aca="false">IF(G74="","",G74/2)</f>
        <v/>
      </c>
      <c r="I74" s="4"/>
      <c r="J74" s="4"/>
      <c r="K74" s="4"/>
      <c r="L74" s="23" t="str">
        <f aca="false">IF(K74="","",K74/2)</f>
        <v/>
      </c>
      <c r="M74" s="4"/>
      <c r="N74" s="22" t="str">
        <f aca="false">IF(OR(G74="",K74="",$K$2="",$K$3=""),"",(K74-G74)/($K$3-$K$2))</f>
        <v/>
      </c>
      <c r="O74" s="21" t="str">
        <f aca="false">IF(N74="","",IF(N74&lt;=0,"",$K$2-G74/N74))</f>
        <v/>
      </c>
      <c r="P74" s="23" t="str">
        <f aca="false">IF(N74="","",3*N74)</f>
        <v/>
      </c>
      <c r="Q74" s="19" t="str">
        <f aca="false">IF(OR(E74="",G74="",G74=0),"",E74/G74)</f>
        <v/>
      </c>
      <c r="R74" s="21" t="str">
        <f aca="false">IF(OR(O74="",$P$3=""),"",O74-$P$3)</f>
        <v/>
      </c>
      <c r="S74" s="4"/>
      <c r="T74" s="4"/>
      <c r="U74" s="4"/>
      <c r="V74" s="17"/>
      <c r="W74" s="4"/>
    </row>
    <row r="75" customFormat="false" ht="15" hidden="false" customHeight="false" outlineLevel="0" collapsed="false">
      <c r="A75" s="8" t="str">
        <f aca="false">Connections!A73</f>
        <v>Q3</v>
      </c>
      <c r="B75" s="8" t="n">
        <f aca="false">Connections!D73</f>
        <v>26</v>
      </c>
      <c r="C75" s="8" t="n">
        <f aca="false">IF(Connections!E73="","",Connections!E73)</f>
        <v>26</v>
      </c>
      <c r="D75" s="8" t="str">
        <f aca="false">IF(Connections!B73="","",Connections!B73)</f>
        <v/>
      </c>
      <c r="E75" s="4"/>
      <c r="F75" s="4"/>
      <c r="G75" s="4"/>
      <c r="H75" s="23" t="str">
        <f aca="false">IF(G75="","",G75/2)</f>
        <v/>
      </c>
      <c r="I75" s="4"/>
      <c r="J75" s="4"/>
      <c r="K75" s="4"/>
      <c r="L75" s="23" t="str">
        <f aca="false">IF(K75="","",K75/2)</f>
        <v/>
      </c>
      <c r="M75" s="4"/>
      <c r="N75" s="22" t="str">
        <f aca="false">IF(OR(G75="",K75="",$K$2="",$K$3=""),"",(K75-G75)/($K$3-$K$2))</f>
        <v/>
      </c>
      <c r="O75" s="21" t="str">
        <f aca="false">IF(N75="","",IF(N75&lt;=0,"",$K$2-G75/N75))</f>
        <v/>
      </c>
      <c r="P75" s="23" t="str">
        <f aca="false">IF(N75="","",3*N75)</f>
        <v/>
      </c>
      <c r="Q75" s="19" t="str">
        <f aca="false">IF(OR(E75="",G75="",G75=0),"",E75/G75)</f>
        <v/>
      </c>
      <c r="R75" s="21" t="str">
        <f aca="false">IF(OR(O75="",$P$3=""),"",O75-$P$3)</f>
        <v/>
      </c>
      <c r="S75" s="4"/>
      <c r="T75" s="4"/>
      <c r="U75" s="4"/>
      <c r="V75" s="17"/>
      <c r="W75" s="4"/>
    </row>
    <row r="76" customFormat="false" ht="15" hidden="false" customHeight="false" outlineLevel="0" collapsed="false">
      <c r="A76" s="8" t="str">
        <f aca="false">Connections!A74</f>
        <v>Q3</v>
      </c>
      <c r="B76" s="8" t="n">
        <f aca="false">Connections!D74</f>
        <v>27</v>
      </c>
      <c r="C76" s="8" t="n">
        <f aca="false">IF(Connections!E74="","",Connections!E74)</f>
        <v>27</v>
      </c>
      <c r="D76" s="8" t="str">
        <f aca="false">IF(Connections!B74="","",Connections!B74)</f>
        <v/>
      </c>
      <c r="E76" s="4"/>
      <c r="F76" s="4"/>
      <c r="G76" s="4"/>
      <c r="H76" s="23" t="str">
        <f aca="false">IF(G76="","",G76/2)</f>
        <v/>
      </c>
      <c r="I76" s="4"/>
      <c r="J76" s="4"/>
      <c r="K76" s="4"/>
      <c r="L76" s="23" t="str">
        <f aca="false">IF(K76="","",K76/2)</f>
        <v/>
      </c>
      <c r="M76" s="4"/>
      <c r="N76" s="22" t="str">
        <f aca="false">IF(OR(G76="",K76="",$K$2="",$K$3=""),"",(K76-G76)/($K$3-$K$2))</f>
        <v/>
      </c>
      <c r="O76" s="21" t="str">
        <f aca="false">IF(N76="","",IF(N76&lt;=0,"",$K$2-G76/N76))</f>
        <v/>
      </c>
      <c r="P76" s="23" t="str">
        <f aca="false">IF(N76="","",3*N76)</f>
        <v/>
      </c>
      <c r="Q76" s="19" t="str">
        <f aca="false">IF(OR(E76="",G76="",G76=0),"",E76/G76)</f>
        <v/>
      </c>
      <c r="R76" s="21" t="str">
        <f aca="false">IF(OR(O76="",$P$3=""),"",O76-$P$3)</f>
        <v/>
      </c>
      <c r="S76" s="4"/>
      <c r="T76" s="4"/>
      <c r="U76" s="4"/>
      <c r="V76" s="17"/>
      <c r="W76" s="4"/>
    </row>
    <row r="77" customFormat="false" ht="15" hidden="false" customHeight="false" outlineLevel="0" collapsed="false">
      <c r="A77" s="8" t="str">
        <f aca="false">Connections!A75</f>
        <v>Q3</v>
      </c>
      <c r="B77" s="8" t="n">
        <f aca="false">Connections!D75</f>
        <v>28</v>
      </c>
      <c r="C77" s="8" t="n">
        <f aca="false">IF(Connections!E75="","",Connections!E75)</f>
        <v>28</v>
      </c>
      <c r="D77" s="8" t="str">
        <f aca="false">IF(Connections!B75="","",Connections!B75)</f>
        <v/>
      </c>
      <c r="E77" s="4"/>
      <c r="F77" s="4"/>
      <c r="G77" s="4"/>
      <c r="H77" s="23" t="str">
        <f aca="false">IF(G77="","",G77/2)</f>
        <v/>
      </c>
      <c r="I77" s="4"/>
      <c r="J77" s="4"/>
      <c r="K77" s="4"/>
      <c r="L77" s="23" t="str">
        <f aca="false">IF(K77="","",K77/2)</f>
        <v/>
      </c>
      <c r="M77" s="4"/>
      <c r="N77" s="22" t="str">
        <f aca="false">IF(OR(G77="",K77="",$K$2="",$K$3=""),"",(K77-G77)/($K$3-$K$2))</f>
        <v/>
      </c>
      <c r="O77" s="21" t="str">
        <f aca="false">IF(N77="","",IF(N77&lt;=0,"",$K$2-G77/N77))</f>
        <v/>
      </c>
      <c r="P77" s="23" t="str">
        <f aca="false">IF(N77="","",3*N77)</f>
        <v/>
      </c>
      <c r="Q77" s="19" t="str">
        <f aca="false">IF(OR(E77="",G77="",G77=0),"",E77/G77)</f>
        <v/>
      </c>
      <c r="R77" s="21" t="str">
        <f aca="false">IF(OR(O77="",$P$3=""),"",O77-$P$3)</f>
        <v/>
      </c>
      <c r="S77" s="4"/>
      <c r="T77" s="4"/>
      <c r="U77" s="4"/>
      <c r="V77" s="17"/>
      <c r="W77" s="4"/>
    </row>
    <row r="78" customFormat="false" ht="15" hidden="false" customHeight="false" outlineLevel="0" collapsed="false">
      <c r="A78" s="8" t="str">
        <f aca="false">Connections!A76</f>
        <v>Q3</v>
      </c>
      <c r="B78" s="8" t="n">
        <f aca="false">Connections!D76</f>
        <v>29</v>
      </c>
      <c r="C78" s="8" t="n">
        <f aca="false">IF(Connections!E76="","",Connections!E76)</f>
        <v>29</v>
      </c>
      <c r="D78" s="8" t="str">
        <f aca="false">IF(Connections!B76="","",Connections!B76)</f>
        <v/>
      </c>
      <c r="E78" s="4"/>
      <c r="F78" s="4"/>
      <c r="G78" s="4"/>
      <c r="H78" s="23" t="str">
        <f aca="false">IF(G78="","",G78/2)</f>
        <v/>
      </c>
      <c r="I78" s="4"/>
      <c r="J78" s="4"/>
      <c r="K78" s="4"/>
      <c r="L78" s="23" t="str">
        <f aca="false">IF(K78="","",K78/2)</f>
        <v/>
      </c>
      <c r="M78" s="4"/>
      <c r="N78" s="22" t="str">
        <f aca="false">IF(OR(G78="",K78="",$K$2="",$K$3=""),"",(K78-G78)/($K$3-$K$2))</f>
        <v/>
      </c>
      <c r="O78" s="21" t="str">
        <f aca="false">IF(N78="","",IF(N78&lt;=0,"",$K$2-G78/N78))</f>
        <v/>
      </c>
      <c r="P78" s="23" t="str">
        <f aca="false">IF(N78="","",3*N78)</f>
        <v/>
      </c>
      <c r="Q78" s="19" t="str">
        <f aca="false">IF(OR(E78="",G78="",G78=0),"",E78/G78)</f>
        <v/>
      </c>
      <c r="R78" s="21" t="str">
        <f aca="false">IF(OR(O78="",$P$3=""),"",O78-$P$3)</f>
        <v/>
      </c>
      <c r="S78" s="4"/>
      <c r="T78" s="4"/>
      <c r="U78" s="4"/>
      <c r="V78" s="17"/>
      <c r="W78" s="4"/>
    </row>
    <row r="79" customFormat="false" ht="15" hidden="false" customHeight="false" outlineLevel="0" collapsed="false">
      <c r="A79" s="8" t="str">
        <f aca="false">Connections!A77</f>
        <v>Q3</v>
      </c>
      <c r="B79" s="8" t="n">
        <f aca="false">Connections!D77</f>
        <v>30</v>
      </c>
      <c r="C79" s="8" t="n">
        <f aca="false">IF(Connections!E77="","",Connections!E77)</f>
        <v>30</v>
      </c>
      <c r="D79" s="8" t="str">
        <f aca="false">IF(Connections!B77="","",Connections!B77)</f>
        <v/>
      </c>
      <c r="E79" s="4"/>
      <c r="F79" s="4"/>
      <c r="G79" s="4"/>
      <c r="H79" s="23" t="str">
        <f aca="false">IF(G79="","",G79/2)</f>
        <v/>
      </c>
      <c r="I79" s="4"/>
      <c r="J79" s="4"/>
      <c r="K79" s="4"/>
      <c r="L79" s="23" t="str">
        <f aca="false">IF(K79="","",K79/2)</f>
        <v/>
      </c>
      <c r="M79" s="4"/>
      <c r="N79" s="22" t="str">
        <f aca="false">IF(OR(G79="",K79="",$K$2="",$K$3=""),"",(K79-G79)/($K$3-$K$2))</f>
        <v/>
      </c>
      <c r="O79" s="21" t="str">
        <f aca="false">IF(N79="","",IF(N79&lt;=0,"",$K$2-G79/N79))</f>
        <v/>
      </c>
      <c r="P79" s="23" t="str">
        <f aca="false">IF(N79="","",3*N79)</f>
        <v/>
      </c>
      <c r="Q79" s="19" t="str">
        <f aca="false">IF(OR(E79="",G79="",G79=0),"",E79/G79)</f>
        <v/>
      </c>
      <c r="R79" s="21" t="str">
        <f aca="false">IF(OR(O79="",$P$3=""),"",O79-$P$3)</f>
        <v/>
      </c>
      <c r="S79" s="4"/>
      <c r="T79" s="4"/>
      <c r="U79" s="4"/>
      <c r="V79" s="17"/>
      <c r="W79" s="4"/>
    </row>
    <row r="80" customFormat="false" ht="15" hidden="false" customHeight="false" outlineLevel="0" collapsed="false">
      <c r="A80" s="8" t="str">
        <f aca="false">Connections!A78</f>
        <v>Q4</v>
      </c>
      <c r="B80" s="8" t="n">
        <f aca="false">Connections!D78</f>
        <v>1</v>
      </c>
      <c r="C80" s="8" t="n">
        <f aca="false">IF(Connections!E78="","",Connections!E78)</f>
        <v>1</v>
      </c>
      <c r="D80" s="8" t="str">
        <f aca="false">IF(Connections!B78="","",Connections!B78)</f>
        <v/>
      </c>
      <c r="E80" s="4"/>
      <c r="F80" s="4"/>
      <c r="G80" s="4"/>
      <c r="H80" s="23" t="str">
        <f aca="false">IF(G80="","",G80/2)</f>
        <v/>
      </c>
      <c r="I80" s="4"/>
      <c r="J80" s="4"/>
      <c r="K80" s="4"/>
      <c r="L80" s="23" t="str">
        <f aca="false">IF(K80="","",K80/2)</f>
        <v/>
      </c>
      <c r="M80" s="4"/>
      <c r="N80" s="22" t="str">
        <f aca="false">IF(OR(G80="",K80="",$K$2="",$K$3=""),"",(K80-G80)/($K$3-$K$2))</f>
        <v/>
      </c>
      <c r="O80" s="21" t="str">
        <f aca="false">IF(N80="","",IF(N80&lt;=0,"",$K$2-G80/N80))</f>
        <v/>
      </c>
      <c r="P80" s="23" t="str">
        <f aca="false">IF(N80="","",3*N80)</f>
        <v/>
      </c>
      <c r="Q80" s="19" t="str">
        <f aca="false">IF(OR(E80="",G80="",G80=0),"",E80/G80)</f>
        <v/>
      </c>
      <c r="R80" s="21" t="str">
        <f aca="false">IF(OR(O80="",$P$3=""),"",O80-$P$3)</f>
        <v/>
      </c>
      <c r="S80" s="4"/>
      <c r="T80" s="4"/>
      <c r="U80" s="4"/>
      <c r="V80" s="17"/>
      <c r="W80" s="4"/>
    </row>
    <row r="81" customFormat="false" ht="15" hidden="false" customHeight="false" outlineLevel="0" collapsed="false">
      <c r="A81" s="8" t="str">
        <f aca="false">Connections!A79</f>
        <v>Q4</v>
      </c>
      <c r="B81" s="8" t="n">
        <f aca="false">Connections!D79</f>
        <v>2</v>
      </c>
      <c r="C81" s="8" t="n">
        <f aca="false">IF(Connections!E79="","",Connections!E79)</f>
        <v>2</v>
      </c>
      <c r="D81" s="8" t="str">
        <f aca="false">IF(Connections!B79="","",Connections!B79)</f>
        <v/>
      </c>
      <c r="E81" s="4"/>
      <c r="F81" s="4"/>
      <c r="G81" s="4"/>
      <c r="H81" s="23" t="str">
        <f aca="false">IF(G81="","",G81/2)</f>
        <v/>
      </c>
      <c r="I81" s="4"/>
      <c r="J81" s="4"/>
      <c r="K81" s="4"/>
      <c r="L81" s="23" t="str">
        <f aca="false">IF(K81="","",K81/2)</f>
        <v/>
      </c>
      <c r="M81" s="4"/>
      <c r="N81" s="22" t="str">
        <f aca="false">IF(OR(G81="",K81="",$K$2="",$K$3=""),"",(K81-G81)/($K$3-$K$2))</f>
        <v/>
      </c>
      <c r="O81" s="21" t="str">
        <f aca="false">IF(N81="","",IF(N81&lt;=0,"",$K$2-G81/N81))</f>
        <v/>
      </c>
      <c r="P81" s="23" t="str">
        <f aca="false">IF(N81="","",3*N81)</f>
        <v/>
      </c>
      <c r="Q81" s="19" t="str">
        <f aca="false">IF(OR(E81="",G81="",G81=0),"",E81/G81)</f>
        <v/>
      </c>
      <c r="R81" s="21" t="str">
        <f aca="false">IF(OR(O81="",$P$3=""),"",O81-$P$3)</f>
        <v/>
      </c>
      <c r="S81" s="4"/>
      <c r="T81" s="4"/>
      <c r="U81" s="4"/>
      <c r="V81" s="17"/>
      <c r="W81" s="4"/>
    </row>
    <row r="82" customFormat="false" ht="15" hidden="false" customHeight="false" outlineLevel="0" collapsed="false">
      <c r="A82" s="8" t="str">
        <f aca="false">Connections!A80</f>
        <v>Q4</v>
      </c>
      <c r="B82" s="8" t="n">
        <f aca="false">Connections!D80</f>
        <v>3</v>
      </c>
      <c r="C82" s="8" t="n">
        <f aca="false">IF(Connections!E80="","",Connections!E80)</f>
        <v>3</v>
      </c>
      <c r="D82" s="8" t="str">
        <f aca="false">IF(Connections!B80="","",Connections!B80)</f>
        <v/>
      </c>
      <c r="E82" s="4"/>
      <c r="F82" s="4"/>
      <c r="G82" s="4"/>
      <c r="H82" s="23" t="str">
        <f aca="false">IF(G82="","",G82/2)</f>
        <v/>
      </c>
      <c r="I82" s="4"/>
      <c r="J82" s="4"/>
      <c r="K82" s="4"/>
      <c r="L82" s="23" t="str">
        <f aca="false">IF(K82="","",K82/2)</f>
        <v/>
      </c>
      <c r="M82" s="4"/>
      <c r="N82" s="22" t="str">
        <f aca="false">IF(OR(G82="",K82="",$K$2="",$K$3=""),"",(K82-G82)/($K$3-$K$2))</f>
        <v/>
      </c>
      <c r="O82" s="21" t="str">
        <f aca="false">IF(N82="","",IF(N82&lt;=0,"",$K$2-G82/N82))</f>
        <v/>
      </c>
      <c r="P82" s="23" t="str">
        <f aca="false">IF(N82="","",3*N82)</f>
        <v/>
      </c>
      <c r="Q82" s="19" t="str">
        <f aca="false">IF(OR(E82="",G82="",G82=0),"",E82/G82)</f>
        <v/>
      </c>
      <c r="R82" s="21" t="str">
        <f aca="false">IF(OR(O82="",$P$3=""),"",O82-$P$3)</f>
        <v/>
      </c>
      <c r="S82" s="4"/>
      <c r="T82" s="4"/>
      <c r="U82" s="4"/>
      <c r="V82" s="17"/>
      <c r="W82" s="4"/>
    </row>
    <row r="83" customFormat="false" ht="15" hidden="false" customHeight="false" outlineLevel="0" collapsed="false">
      <c r="A83" s="8" t="str">
        <f aca="false">Connections!A81</f>
        <v>Q4</v>
      </c>
      <c r="B83" s="8" t="n">
        <f aca="false">Connections!D81</f>
        <v>4</v>
      </c>
      <c r="C83" s="8" t="n">
        <f aca="false">IF(Connections!E81="","",Connections!E81)</f>
        <v>4</v>
      </c>
      <c r="D83" s="8" t="str">
        <f aca="false">IF(Connections!B81="","",Connections!B81)</f>
        <v/>
      </c>
      <c r="E83" s="4"/>
      <c r="F83" s="4"/>
      <c r="G83" s="4"/>
      <c r="H83" s="23" t="str">
        <f aca="false">IF(G83="","",G83/2)</f>
        <v/>
      </c>
      <c r="I83" s="4"/>
      <c r="J83" s="4"/>
      <c r="K83" s="4"/>
      <c r="L83" s="23" t="str">
        <f aca="false">IF(K83="","",K83/2)</f>
        <v/>
      </c>
      <c r="M83" s="4"/>
      <c r="N83" s="22" t="str">
        <f aca="false">IF(OR(G83="",K83="",$K$2="",$K$3=""),"",(K83-G83)/($K$3-$K$2))</f>
        <v/>
      </c>
      <c r="O83" s="21" t="str">
        <f aca="false">IF(N83="","",IF(N83&lt;=0,"",$K$2-G83/N83))</f>
        <v/>
      </c>
      <c r="P83" s="23" t="str">
        <f aca="false">IF(N83="","",3*N83)</f>
        <v/>
      </c>
      <c r="Q83" s="19" t="str">
        <f aca="false">IF(OR(E83="",G83="",G83=0),"",E83/G83)</f>
        <v/>
      </c>
      <c r="R83" s="21" t="str">
        <f aca="false">IF(OR(O83="",$P$3=""),"",O83-$P$3)</f>
        <v/>
      </c>
      <c r="S83" s="4"/>
      <c r="T83" s="4"/>
      <c r="U83" s="4"/>
      <c r="V83" s="17"/>
      <c r="W83" s="4"/>
    </row>
    <row r="84" customFormat="false" ht="15" hidden="false" customHeight="false" outlineLevel="0" collapsed="false">
      <c r="A84" s="8" t="str">
        <f aca="false">Connections!A82</f>
        <v>Q4</v>
      </c>
      <c r="B84" s="8" t="n">
        <f aca="false">Connections!D82</f>
        <v>5</v>
      </c>
      <c r="C84" s="8" t="n">
        <f aca="false">IF(Connections!E82="","",Connections!E82)</f>
        <v>5</v>
      </c>
      <c r="D84" s="8" t="str">
        <f aca="false">IF(Connections!B82="","",Connections!B82)</f>
        <v/>
      </c>
      <c r="E84" s="4"/>
      <c r="F84" s="4"/>
      <c r="G84" s="4"/>
      <c r="H84" s="23" t="str">
        <f aca="false">IF(G84="","",G84/2)</f>
        <v/>
      </c>
      <c r="I84" s="4"/>
      <c r="J84" s="4"/>
      <c r="K84" s="4"/>
      <c r="L84" s="23" t="str">
        <f aca="false">IF(K84="","",K84/2)</f>
        <v/>
      </c>
      <c r="M84" s="4"/>
      <c r="N84" s="22" t="str">
        <f aca="false">IF(OR(G84="",K84="",$K$2="",$K$3=""),"",(K84-G84)/($K$3-$K$2))</f>
        <v/>
      </c>
      <c r="O84" s="21" t="str">
        <f aca="false">IF(N84="","",IF(N84&lt;=0,"",$K$2-G84/N84))</f>
        <v/>
      </c>
      <c r="P84" s="23" t="str">
        <f aca="false">IF(N84="","",3*N84)</f>
        <v/>
      </c>
      <c r="Q84" s="19" t="str">
        <f aca="false">IF(OR(E84="",G84="",G84=0),"",E84/G84)</f>
        <v/>
      </c>
      <c r="R84" s="21" t="str">
        <f aca="false">IF(OR(O84="",$P$3=""),"",O84-$P$3)</f>
        <v/>
      </c>
      <c r="S84" s="4"/>
      <c r="T84" s="4"/>
      <c r="U84" s="4"/>
      <c r="V84" s="17"/>
      <c r="W84" s="4"/>
    </row>
    <row r="85" customFormat="false" ht="15" hidden="false" customHeight="false" outlineLevel="0" collapsed="false">
      <c r="A85" s="8" t="str">
        <f aca="false">Connections!A83</f>
        <v>Q4</v>
      </c>
      <c r="B85" s="8" t="n">
        <f aca="false">Connections!D83</f>
        <v>6</v>
      </c>
      <c r="C85" s="8" t="n">
        <f aca="false">IF(Connections!E83="","",Connections!E83)</f>
        <v>6</v>
      </c>
      <c r="D85" s="8" t="str">
        <f aca="false">IF(Connections!B83="","",Connections!B83)</f>
        <v/>
      </c>
      <c r="E85" s="4"/>
      <c r="F85" s="4"/>
      <c r="G85" s="4"/>
      <c r="H85" s="23" t="str">
        <f aca="false">IF(G85="","",G85/2)</f>
        <v/>
      </c>
      <c r="I85" s="4"/>
      <c r="J85" s="4"/>
      <c r="K85" s="4"/>
      <c r="L85" s="23" t="str">
        <f aca="false">IF(K85="","",K85/2)</f>
        <v/>
      </c>
      <c r="M85" s="4"/>
      <c r="N85" s="22" t="str">
        <f aca="false">IF(OR(G85="",K85="",$K$2="",$K$3=""),"",(K85-G85)/($K$3-$K$2))</f>
        <v/>
      </c>
      <c r="O85" s="21" t="str">
        <f aca="false">IF(N85="","",IF(N85&lt;=0,"",$K$2-G85/N85))</f>
        <v/>
      </c>
      <c r="P85" s="23" t="str">
        <f aca="false">IF(N85="","",3*N85)</f>
        <v/>
      </c>
      <c r="Q85" s="19" t="str">
        <f aca="false">IF(OR(E85="",G85="",G85=0),"",E85/G85)</f>
        <v/>
      </c>
      <c r="R85" s="21" t="str">
        <f aca="false">IF(OR(O85="",$P$3=""),"",O85-$P$3)</f>
        <v/>
      </c>
      <c r="S85" s="4"/>
      <c r="T85" s="4"/>
      <c r="U85" s="4"/>
      <c r="V85" s="17"/>
      <c r="W85" s="4"/>
    </row>
    <row r="86" customFormat="false" ht="15" hidden="false" customHeight="false" outlineLevel="0" collapsed="false">
      <c r="A86" s="8" t="str">
        <f aca="false">Connections!A84</f>
        <v>Q4</v>
      </c>
      <c r="B86" s="8" t="n">
        <f aca="false">Connections!D84</f>
        <v>7</v>
      </c>
      <c r="C86" s="8" t="n">
        <f aca="false">IF(Connections!E84="","",Connections!E84)</f>
        <v>7</v>
      </c>
      <c r="D86" s="8" t="str">
        <f aca="false">IF(Connections!B84="","",Connections!B84)</f>
        <v/>
      </c>
      <c r="E86" s="4"/>
      <c r="F86" s="4"/>
      <c r="G86" s="4"/>
      <c r="H86" s="23" t="str">
        <f aca="false">IF(G86="","",G86/2)</f>
        <v/>
      </c>
      <c r="I86" s="4"/>
      <c r="J86" s="4"/>
      <c r="K86" s="4"/>
      <c r="L86" s="23" t="str">
        <f aca="false">IF(K86="","",K86/2)</f>
        <v/>
      </c>
      <c r="M86" s="4"/>
      <c r="N86" s="22" t="str">
        <f aca="false">IF(OR(G86="",K86="",$K$2="",$K$3=""),"",(K86-G86)/($K$3-$K$2))</f>
        <v/>
      </c>
      <c r="O86" s="21" t="str">
        <f aca="false">IF(N86="","",IF(N86&lt;=0,"",$K$2-G86/N86))</f>
        <v/>
      </c>
      <c r="P86" s="23" t="str">
        <f aca="false">IF(N86="","",3*N86)</f>
        <v/>
      </c>
      <c r="Q86" s="19" t="str">
        <f aca="false">IF(OR(E86="",G86="",G86=0),"",E86/G86)</f>
        <v/>
      </c>
      <c r="R86" s="21" t="str">
        <f aca="false">IF(OR(O86="",$P$3=""),"",O86-$P$3)</f>
        <v/>
      </c>
      <c r="S86" s="4"/>
      <c r="T86" s="4"/>
      <c r="U86" s="4"/>
      <c r="V86" s="17"/>
      <c r="W86" s="4"/>
    </row>
    <row r="87" customFormat="false" ht="15" hidden="false" customHeight="false" outlineLevel="0" collapsed="false">
      <c r="A87" s="8" t="str">
        <f aca="false">Connections!A85</f>
        <v>Q4</v>
      </c>
      <c r="B87" s="8" t="n">
        <f aca="false">Connections!D85</f>
        <v>8</v>
      </c>
      <c r="C87" s="8" t="n">
        <f aca="false">IF(Connections!E85="","",Connections!E85)</f>
        <v>8</v>
      </c>
      <c r="D87" s="8" t="str">
        <f aca="false">IF(Connections!B85="","",Connections!B85)</f>
        <v/>
      </c>
      <c r="E87" s="4"/>
      <c r="F87" s="4"/>
      <c r="G87" s="4"/>
      <c r="H87" s="23" t="str">
        <f aca="false">IF(G87="","",G87/2)</f>
        <v/>
      </c>
      <c r="I87" s="4"/>
      <c r="J87" s="4"/>
      <c r="K87" s="4"/>
      <c r="L87" s="23" t="str">
        <f aca="false">IF(K87="","",K87/2)</f>
        <v/>
      </c>
      <c r="M87" s="4"/>
      <c r="N87" s="22" t="str">
        <f aca="false">IF(OR(G87="",K87="",$K$2="",$K$3=""),"",(K87-G87)/($K$3-$K$2))</f>
        <v/>
      </c>
      <c r="O87" s="21" t="str">
        <f aca="false">IF(N87="","",IF(N87&lt;=0,"",$K$2-G87/N87))</f>
        <v/>
      </c>
      <c r="P87" s="23" t="str">
        <f aca="false">IF(N87="","",3*N87)</f>
        <v/>
      </c>
      <c r="Q87" s="19" t="str">
        <f aca="false">IF(OR(E87="",G87="",G87=0),"",E87/G87)</f>
        <v/>
      </c>
      <c r="R87" s="21" t="str">
        <f aca="false">IF(OR(O87="",$P$3=""),"",O87-$P$3)</f>
        <v/>
      </c>
      <c r="S87" s="4"/>
      <c r="T87" s="4"/>
      <c r="U87" s="4"/>
      <c r="V87" s="17"/>
      <c r="W87" s="4"/>
    </row>
    <row r="88" customFormat="false" ht="15" hidden="false" customHeight="false" outlineLevel="0" collapsed="false">
      <c r="A88" s="8" t="str">
        <f aca="false">Connections!A86</f>
        <v>Q4</v>
      </c>
      <c r="B88" s="8" t="n">
        <f aca="false">Connections!D86</f>
        <v>9</v>
      </c>
      <c r="C88" s="8" t="n">
        <f aca="false">IF(Connections!E86="","",Connections!E86)</f>
        <v>9</v>
      </c>
      <c r="D88" s="8" t="str">
        <f aca="false">IF(Connections!B86="","",Connections!B86)</f>
        <v/>
      </c>
      <c r="E88" s="4"/>
      <c r="F88" s="4"/>
      <c r="G88" s="4"/>
      <c r="H88" s="23" t="str">
        <f aca="false">IF(G88="","",G88/2)</f>
        <v/>
      </c>
      <c r="I88" s="4"/>
      <c r="J88" s="4"/>
      <c r="K88" s="4"/>
      <c r="L88" s="23" t="str">
        <f aca="false">IF(K88="","",K88/2)</f>
        <v/>
      </c>
      <c r="M88" s="4"/>
      <c r="N88" s="22" t="str">
        <f aca="false">IF(OR(G88="",K88="",$K$2="",$K$3=""),"",(K88-G88)/($K$3-$K$2))</f>
        <v/>
      </c>
      <c r="O88" s="21" t="str">
        <f aca="false">IF(N88="","",IF(N88&lt;=0,"",$K$2-G88/N88))</f>
        <v/>
      </c>
      <c r="P88" s="23" t="str">
        <f aca="false">IF(N88="","",3*N88)</f>
        <v/>
      </c>
      <c r="Q88" s="19" t="str">
        <f aca="false">IF(OR(E88="",G88="",G88=0),"",E88/G88)</f>
        <v/>
      </c>
      <c r="R88" s="21" t="str">
        <f aca="false">IF(OR(O88="",$P$3=""),"",O88-$P$3)</f>
        <v/>
      </c>
      <c r="S88" s="4"/>
      <c r="T88" s="4"/>
      <c r="U88" s="4"/>
      <c r="V88" s="17"/>
      <c r="W88" s="4"/>
    </row>
    <row r="89" customFormat="false" ht="15" hidden="false" customHeight="false" outlineLevel="0" collapsed="false">
      <c r="A89" s="8" t="str">
        <f aca="false">Connections!A87</f>
        <v>Q4</v>
      </c>
      <c r="B89" s="8" t="n">
        <f aca="false">Connections!D87</f>
        <v>10</v>
      </c>
      <c r="C89" s="8" t="n">
        <f aca="false">IF(Connections!E87="","",Connections!E87)</f>
        <v>10</v>
      </c>
      <c r="D89" s="8" t="str">
        <f aca="false">IF(Connections!B87="","",Connections!B87)</f>
        <v/>
      </c>
      <c r="E89" s="4"/>
      <c r="F89" s="4"/>
      <c r="G89" s="4"/>
      <c r="H89" s="23" t="str">
        <f aca="false">IF(G89="","",G89/2)</f>
        <v/>
      </c>
      <c r="I89" s="4"/>
      <c r="J89" s="4"/>
      <c r="K89" s="4"/>
      <c r="L89" s="23" t="str">
        <f aca="false">IF(K89="","",K89/2)</f>
        <v/>
      </c>
      <c r="M89" s="4"/>
      <c r="N89" s="22" t="str">
        <f aca="false">IF(OR(G89="",K89="",$K$2="",$K$3=""),"",(K89-G89)/($K$3-$K$2))</f>
        <v/>
      </c>
      <c r="O89" s="21" t="str">
        <f aca="false">IF(N89="","",IF(N89&lt;=0,"",$K$2-G89/N89))</f>
        <v/>
      </c>
      <c r="P89" s="23" t="str">
        <f aca="false">IF(N89="","",3*N89)</f>
        <v/>
      </c>
      <c r="Q89" s="19" t="str">
        <f aca="false">IF(OR(E89="",G89="",G89=0),"",E89/G89)</f>
        <v/>
      </c>
      <c r="R89" s="21" t="str">
        <f aca="false">IF(OR(O89="",$P$3=""),"",O89-$P$3)</f>
        <v/>
      </c>
      <c r="S89" s="4"/>
      <c r="T89" s="4"/>
      <c r="U89" s="4"/>
      <c r="V89" s="17"/>
      <c r="W89" s="4"/>
    </row>
    <row r="90" customFormat="false" ht="15" hidden="false" customHeight="false" outlineLevel="0" collapsed="false">
      <c r="A90" s="8" t="str">
        <f aca="false">Connections!A88</f>
        <v>Q4</v>
      </c>
      <c r="B90" s="8" t="n">
        <f aca="false">Connections!D88</f>
        <v>11</v>
      </c>
      <c r="C90" s="8" t="n">
        <f aca="false">IF(Connections!E88="","",Connections!E88)</f>
        <v>11</v>
      </c>
      <c r="D90" s="8" t="str">
        <f aca="false">IF(Connections!B88="","",Connections!B88)</f>
        <v/>
      </c>
      <c r="E90" s="4"/>
      <c r="F90" s="4"/>
      <c r="G90" s="4"/>
      <c r="H90" s="23" t="str">
        <f aca="false">IF(G90="","",G90/2)</f>
        <v/>
      </c>
      <c r="I90" s="4"/>
      <c r="J90" s="4"/>
      <c r="K90" s="4"/>
      <c r="L90" s="23" t="str">
        <f aca="false">IF(K90="","",K90/2)</f>
        <v/>
      </c>
      <c r="M90" s="4"/>
      <c r="N90" s="22" t="str">
        <f aca="false">IF(OR(G90="",K90="",$K$2="",$K$3=""),"",(K90-G90)/($K$3-$K$2))</f>
        <v/>
      </c>
      <c r="O90" s="21" t="str">
        <f aca="false">IF(N90="","",IF(N90&lt;=0,"",$K$2-G90/N90))</f>
        <v/>
      </c>
      <c r="P90" s="23" t="str">
        <f aca="false">IF(N90="","",3*N90)</f>
        <v/>
      </c>
      <c r="Q90" s="19" t="str">
        <f aca="false">IF(OR(E90="",G90="",G90=0),"",E90/G90)</f>
        <v/>
      </c>
      <c r="R90" s="21" t="str">
        <f aca="false">IF(OR(O90="",$P$3=""),"",O90-$P$3)</f>
        <v/>
      </c>
      <c r="S90" s="4"/>
      <c r="T90" s="4"/>
      <c r="U90" s="4"/>
      <c r="V90" s="17"/>
      <c r="W90" s="4"/>
    </row>
    <row r="91" customFormat="false" ht="15" hidden="false" customHeight="false" outlineLevel="0" collapsed="false">
      <c r="A91" s="8" t="str">
        <f aca="false">Connections!A89</f>
        <v>Q4</v>
      </c>
      <c r="B91" s="8" t="n">
        <f aca="false">Connections!D89</f>
        <v>12</v>
      </c>
      <c r="C91" s="8" t="n">
        <f aca="false">IF(Connections!E89="","",Connections!E89)</f>
        <v>12</v>
      </c>
      <c r="D91" s="8" t="str">
        <f aca="false">IF(Connections!B89="","",Connections!B89)</f>
        <v/>
      </c>
      <c r="E91" s="4"/>
      <c r="F91" s="4"/>
      <c r="G91" s="4"/>
      <c r="H91" s="23" t="str">
        <f aca="false">IF(G91="","",G91/2)</f>
        <v/>
      </c>
      <c r="I91" s="4"/>
      <c r="J91" s="4"/>
      <c r="K91" s="4"/>
      <c r="L91" s="23" t="str">
        <f aca="false">IF(K91="","",K91/2)</f>
        <v/>
      </c>
      <c r="M91" s="4"/>
      <c r="N91" s="22" t="str">
        <f aca="false">IF(OR(G91="",K91="",$K$2="",$K$3=""),"",(K91-G91)/($K$3-$K$2))</f>
        <v/>
      </c>
      <c r="O91" s="21" t="str">
        <f aca="false">IF(N91="","",IF(N91&lt;=0,"",$K$2-G91/N91))</f>
        <v/>
      </c>
      <c r="P91" s="23" t="str">
        <f aca="false">IF(N91="","",3*N91)</f>
        <v/>
      </c>
      <c r="Q91" s="19" t="str">
        <f aca="false">IF(OR(E91="",G91="",G91=0),"",E91/G91)</f>
        <v/>
      </c>
      <c r="R91" s="21" t="str">
        <f aca="false">IF(OR(O91="",$P$3=""),"",O91-$P$3)</f>
        <v/>
      </c>
      <c r="S91" s="4"/>
      <c r="T91" s="4"/>
      <c r="U91" s="4"/>
      <c r="V91" s="17"/>
      <c r="W91" s="4"/>
    </row>
    <row r="92" customFormat="false" ht="15" hidden="false" customHeight="false" outlineLevel="0" collapsed="false">
      <c r="A92" s="8" t="str">
        <f aca="false">Connections!A90</f>
        <v>Q4</v>
      </c>
      <c r="B92" s="8" t="n">
        <f aca="false">Connections!D90</f>
        <v>13</v>
      </c>
      <c r="C92" s="8" t="n">
        <f aca="false">IF(Connections!E90="","",Connections!E90)</f>
        <v>13</v>
      </c>
      <c r="D92" s="8" t="str">
        <f aca="false">IF(Connections!B90="","",Connections!B90)</f>
        <v/>
      </c>
      <c r="E92" s="4"/>
      <c r="F92" s="4"/>
      <c r="G92" s="4"/>
      <c r="H92" s="23" t="str">
        <f aca="false">IF(G92="","",G92/2)</f>
        <v/>
      </c>
      <c r="I92" s="4"/>
      <c r="J92" s="4"/>
      <c r="K92" s="4"/>
      <c r="L92" s="23" t="str">
        <f aca="false">IF(K92="","",K92/2)</f>
        <v/>
      </c>
      <c r="M92" s="4"/>
      <c r="N92" s="22" t="str">
        <f aca="false">IF(OR(G92="",K92="",$K$2="",$K$3=""),"",(K92-G92)/($K$3-$K$2))</f>
        <v/>
      </c>
      <c r="O92" s="21" t="str">
        <f aca="false">IF(N92="","",IF(N92&lt;=0,"",$K$2-G92/N92))</f>
        <v/>
      </c>
      <c r="P92" s="23" t="str">
        <f aca="false">IF(N92="","",3*N92)</f>
        <v/>
      </c>
      <c r="Q92" s="19" t="str">
        <f aca="false">IF(OR(E92="",G92="",G92=0),"",E92/G92)</f>
        <v/>
      </c>
      <c r="R92" s="21" t="str">
        <f aca="false">IF(OR(O92="",$P$3=""),"",O92-$P$3)</f>
        <v/>
      </c>
      <c r="S92" s="4"/>
      <c r="T92" s="4"/>
      <c r="U92" s="4"/>
      <c r="V92" s="17"/>
      <c r="W92" s="4"/>
    </row>
    <row r="93" customFormat="false" ht="15" hidden="false" customHeight="false" outlineLevel="0" collapsed="false">
      <c r="A93" s="8" t="str">
        <f aca="false">Connections!A91</f>
        <v>Q4</v>
      </c>
      <c r="B93" s="8" t="n">
        <f aca="false">Connections!D91</f>
        <v>14</v>
      </c>
      <c r="C93" s="8" t="n">
        <f aca="false">IF(Connections!E91="","",Connections!E91)</f>
        <v>14</v>
      </c>
      <c r="D93" s="8" t="str">
        <f aca="false">IF(Connections!B91="","",Connections!B91)</f>
        <v/>
      </c>
      <c r="E93" s="4"/>
      <c r="F93" s="4"/>
      <c r="G93" s="4"/>
      <c r="H93" s="23" t="str">
        <f aca="false">IF(G93="","",G93/2)</f>
        <v/>
      </c>
      <c r="I93" s="4"/>
      <c r="J93" s="4"/>
      <c r="K93" s="4"/>
      <c r="L93" s="23" t="str">
        <f aca="false">IF(K93="","",K93/2)</f>
        <v/>
      </c>
      <c r="M93" s="4"/>
      <c r="N93" s="22" t="str">
        <f aca="false">IF(OR(G93="",K93="",$K$2="",$K$3=""),"",(K93-G93)/($K$3-$K$2))</f>
        <v/>
      </c>
      <c r="O93" s="21" t="str">
        <f aca="false">IF(N93="","",IF(N93&lt;=0,"",$K$2-G93/N93))</f>
        <v/>
      </c>
      <c r="P93" s="23" t="str">
        <f aca="false">IF(N93="","",3*N93)</f>
        <v/>
      </c>
      <c r="Q93" s="19" t="str">
        <f aca="false">IF(OR(E93="",G93="",G93=0),"",E93/G93)</f>
        <v/>
      </c>
      <c r="R93" s="21" t="str">
        <f aca="false">IF(OR(O93="",$P$3=""),"",O93-$P$3)</f>
        <v/>
      </c>
      <c r="S93" s="4"/>
      <c r="T93" s="4"/>
      <c r="U93" s="4"/>
      <c r="V93" s="17"/>
      <c r="W93" s="4"/>
    </row>
    <row r="94" customFormat="false" ht="15" hidden="false" customHeight="false" outlineLevel="0" collapsed="false">
      <c r="A94" s="8" t="str">
        <f aca="false">Connections!A92</f>
        <v>Q4</v>
      </c>
      <c r="B94" s="8" t="n">
        <f aca="false">Connections!D92</f>
        <v>15</v>
      </c>
      <c r="C94" s="8" t="n">
        <f aca="false">IF(Connections!E92="","",Connections!E92)</f>
        <v>15</v>
      </c>
      <c r="D94" s="8" t="str">
        <f aca="false">IF(Connections!B92="","",Connections!B92)</f>
        <v/>
      </c>
      <c r="E94" s="4"/>
      <c r="F94" s="4"/>
      <c r="G94" s="4"/>
      <c r="H94" s="23" t="str">
        <f aca="false">IF(G94="","",G94/2)</f>
        <v/>
      </c>
      <c r="I94" s="4"/>
      <c r="J94" s="4"/>
      <c r="K94" s="4"/>
      <c r="L94" s="23" t="str">
        <f aca="false">IF(K94="","",K94/2)</f>
        <v/>
      </c>
      <c r="M94" s="4"/>
      <c r="N94" s="22" t="str">
        <f aca="false">IF(OR(G94="",K94="",$K$2="",$K$3=""),"",(K94-G94)/($K$3-$K$2))</f>
        <v/>
      </c>
      <c r="O94" s="21" t="str">
        <f aca="false">IF(N94="","",IF(N94&lt;=0,"",$K$2-G94/N94))</f>
        <v/>
      </c>
      <c r="P94" s="23" t="str">
        <f aca="false">IF(N94="","",3*N94)</f>
        <v/>
      </c>
      <c r="Q94" s="19" t="str">
        <f aca="false">IF(OR(E94="",G94="",G94=0),"",E94/G94)</f>
        <v/>
      </c>
      <c r="R94" s="21" t="str">
        <f aca="false">IF(OR(O94="",$P$3=""),"",O94-$P$3)</f>
        <v/>
      </c>
      <c r="S94" s="4"/>
      <c r="T94" s="4"/>
      <c r="U94" s="4"/>
      <c r="V94" s="17"/>
      <c r="W94" s="4"/>
    </row>
    <row r="95" customFormat="false" ht="15" hidden="false" customHeight="false" outlineLevel="0" collapsed="false">
      <c r="A95" s="8" t="str">
        <f aca="false">Connections!A93</f>
        <v>Q4</v>
      </c>
      <c r="B95" s="8" t="n">
        <f aca="false">Connections!D93</f>
        <v>16</v>
      </c>
      <c r="C95" s="8" t="n">
        <f aca="false">IF(Connections!E93="","",Connections!E93)</f>
        <v>16</v>
      </c>
      <c r="D95" s="8" t="str">
        <f aca="false">IF(Connections!B93="","",Connections!B93)</f>
        <v/>
      </c>
      <c r="E95" s="4"/>
      <c r="F95" s="4"/>
      <c r="G95" s="4"/>
      <c r="H95" s="23" t="str">
        <f aca="false">IF(G95="","",G95/2)</f>
        <v/>
      </c>
      <c r="I95" s="4"/>
      <c r="J95" s="4"/>
      <c r="K95" s="4"/>
      <c r="L95" s="23" t="str">
        <f aca="false">IF(K95="","",K95/2)</f>
        <v/>
      </c>
      <c r="M95" s="4"/>
      <c r="N95" s="22" t="str">
        <f aca="false">IF(OR(G95="",K95="",$K$2="",$K$3=""),"",(K95-G95)/($K$3-$K$2))</f>
        <v/>
      </c>
      <c r="O95" s="21" t="str">
        <f aca="false">IF(N95="","",IF(N95&lt;=0,"",$K$2-G95/N95))</f>
        <v/>
      </c>
      <c r="P95" s="23" t="str">
        <f aca="false">IF(N95="","",3*N95)</f>
        <v/>
      </c>
      <c r="Q95" s="19" t="str">
        <f aca="false">IF(OR(E95="",G95="",G95=0),"",E95/G95)</f>
        <v/>
      </c>
      <c r="R95" s="21" t="str">
        <f aca="false">IF(OR(O95="",$P$3=""),"",O95-$P$3)</f>
        <v/>
      </c>
      <c r="S95" s="4"/>
      <c r="T95" s="4"/>
      <c r="U95" s="4"/>
      <c r="V95" s="17"/>
      <c r="W95" s="4"/>
    </row>
    <row r="96" customFormat="false" ht="15" hidden="false" customHeight="false" outlineLevel="0" collapsed="false">
      <c r="A96" s="8" t="str">
        <f aca="false">Connections!A94</f>
        <v>Q4</v>
      </c>
      <c r="B96" s="8" t="n">
        <f aca="false">Connections!D94</f>
        <v>23</v>
      </c>
      <c r="C96" s="8" t="n">
        <f aca="false">IF(Connections!E94="","",Connections!E94)</f>
        <v>23</v>
      </c>
      <c r="D96" s="8" t="str">
        <f aca="false">IF(Connections!B94="","",Connections!B94)</f>
        <v/>
      </c>
      <c r="E96" s="4"/>
      <c r="F96" s="4"/>
      <c r="G96" s="4"/>
      <c r="H96" s="23" t="str">
        <f aca="false">IF(G96="","",G96/2)</f>
        <v/>
      </c>
      <c r="I96" s="4"/>
      <c r="J96" s="4"/>
      <c r="K96" s="4"/>
      <c r="L96" s="23" t="str">
        <f aca="false">IF(K96="","",K96/2)</f>
        <v/>
      </c>
      <c r="M96" s="4"/>
      <c r="N96" s="22" t="str">
        <f aca="false">IF(OR(G96="",K96="",$K$2="",$K$3=""),"",(K96-G96)/($K$3-$K$2))</f>
        <v/>
      </c>
      <c r="O96" s="21" t="str">
        <f aca="false">IF(N96="","",IF(N96&lt;=0,"",$K$2-G96/N96))</f>
        <v/>
      </c>
      <c r="P96" s="23" t="str">
        <f aca="false">IF(N96="","",3*N96)</f>
        <v/>
      </c>
      <c r="Q96" s="19" t="str">
        <f aca="false">IF(OR(E96="",G96="",G96=0),"",E96/G96)</f>
        <v/>
      </c>
      <c r="R96" s="21" t="str">
        <f aca="false">IF(OR(O96="",$P$3=""),"",O96-$P$3)</f>
        <v/>
      </c>
      <c r="S96" s="4"/>
      <c r="T96" s="4"/>
      <c r="U96" s="4"/>
      <c r="V96" s="17"/>
      <c r="W96" s="4"/>
    </row>
    <row r="97" customFormat="false" ht="15" hidden="false" customHeight="false" outlineLevel="0" collapsed="false">
      <c r="A97" s="8" t="str">
        <f aca="false">Connections!A95</f>
        <v>Q4</v>
      </c>
      <c r="B97" s="8" t="n">
        <f aca="false">Connections!D95</f>
        <v>24</v>
      </c>
      <c r="C97" s="8" t="n">
        <f aca="false">IF(Connections!E95="","",Connections!E95)</f>
        <v>24</v>
      </c>
      <c r="D97" s="8" t="str">
        <f aca="false">IF(Connections!B95="","",Connections!B95)</f>
        <v/>
      </c>
      <c r="E97" s="4"/>
      <c r="F97" s="4"/>
      <c r="G97" s="4"/>
      <c r="H97" s="23" t="str">
        <f aca="false">IF(G97="","",G97/2)</f>
        <v/>
      </c>
      <c r="I97" s="4"/>
      <c r="J97" s="4"/>
      <c r="K97" s="4"/>
      <c r="L97" s="23" t="str">
        <f aca="false">IF(K97="","",K97/2)</f>
        <v/>
      </c>
      <c r="M97" s="4"/>
      <c r="N97" s="22" t="str">
        <f aca="false">IF(OR(G97="",K97="",$K$2="",$K$3=""),"",(K97-G97)/($K$3-$K$2))</f>
        <v/>
      </c>
      <c r="O97" s="21" t="str">
        <f aca="false">IF(N97="","",IF(N97&lt;=0,"",$K$2-G97/N97))</f>
        <v/>
      </c>
      <c r="P97" s="23" t="str">
        <f aca="false">IF(N97="","",3*N97)</f>
        <v/>
      </c>
      <c r="Q97" s="19" t="str">
        <f aca="false">IF(OR(E97="",G97="",G97=0),"",E97/G97)</f>
        <v/>
      </c>
      <c r="R97" s="21" t="str">
        <f aca="false">IF(OR(O97="",$P$3=""),"",O97-$P$3)</f>
        <v/>
      </c>
      <c r="S97" s="4"/>
      <c r="T97" s="4"/>
      <c r="U97" s="4"/>
      <c r="V97" s="17"/>
      <c r="W97" s="4"/>
    </row>
    <row r="98" customFormat="false" ht="15" hidden="false" customHeight="false" outlineLevel="0" collapsed="false">
      <c r="A98" s="8" t="str">
        <f aca="false">Connections!A96</f>
        <v>Q4</v>
      </c>
      <c r="B98" s="8" t="n">
        <f aca="false">Connections!D96</f>
        <v>25</v>
      </c>
      <c r="C98" s="8" t="n">
        <f aca="false">IF(Connections!E96="","",Connections!E96)</f>
        <v>25</v>
      </c>
      <c r="D98" s="8" t="str">
        <f aca="false">IF(Connections!B96="","",Connections!B96)</f>
        <v/>
      </c>
      <c r="E98" s="4"/>
      <c r="F98" s="4"/>
      <c r="G98" s="4"/>
      <c r="H98" s="23" t="str">
        <f aca="false">IF(G98="","",G98/2)</f>
        <v/>
      </c>
      <c r="I98" s="4"/>
      <c r="J98" s="4"/>
      <c r="K98" s="4"/>
      <c r="L98" s="23" t="str">
        <f aca="false">IF(K98="","",K98/2)</f>
        <v/>
      </c>
      <c r="M98" s="4"/>
      <c r="N98" s="22" t="str">
        <f aca="false">IF(OR(G98="",K98="",$K$2="",$K$3=""),"",(K98-G98)/($K$3-$K$2))</f>
        <v/>
      </c>
      <c r="O98" s="21" t="str">
        <f aca="false">IF(N98="","",IF(N98&lt;=0,"",$K$2-G98/N98))</f>
        <v/>
      </c>
      <c r="P98" s="23" t="str">
        <f aca="false">IF(N98="","",3*N98)</f>
        <v/>
      </c>
      <c r="Q98" s="19" t="str">
        <f aca="false">IF(OR(E98="",G98="",G98=0),"",E98/G98)</f>
        <v/>
      </c>
      <c r="R98" s="21" t="str">
        <f aca="false">IF(OR(O98="",$P$3=""),"",O98-$P$3)</f>
        <v/>
      </c>
      <c r="S98" s="4"/>
      <c r="T98" s="4"/>
      <c r="U98" s="4"/>
      <c r="V98" s="17"/>
      <c r="W98" s="4"/>
    </row>
    <row r="99" customFormat="false" ht="15" hidden="false" customHeight="false" outlineLevel="0" collapsed="false">
      <c r="A99" s="8" t="str">
        <f aca="false">Connections!A97</f>
        <v>Q4</v>
      </c>
      <c r="B99" s="8" t="n">
        <f aca="false">Connections!D97</f>
        <v>26</v>
      </c>
      <c r="C99" s="8" t="n">
        <f aca="false">IF(Connections!E97="","",Connections!E97)</f>
        <v>26</v>
      </c>
      <c r="D99" s="8" t="str">
        <f aca="false">IF(Connections!B97="","",Connections!B97)</f>
        <v/>
      </c>
      <c r="E99" s="4"/>
      <c r="F99" s="4"/>
      <c r="G99" s="4"/>
      <c r="H99" s="23" t="str">
        <f aca="false">IF(G99="","",G99/2)</f>
        <v/>
      </c>
      <c r="I99" s="4"/>
      <c r="J99" s="4"/>
      <c r="K99" s="4"/>
      <c r="L99" s="23" t="str">
        <f aca="false">IF(K99="","",K99/2)</f>
        <v/>
      </c>
      <c r="M99" s="4"/>
      <c r="N99" s="22" t="str">
        <f aca="false">IF(OR(G99="",K99="",$K$2="",$K$3=""),"",(K99-G99)/($K$3-$K$2))</f>
        <v/>
      </c>
      <c r="O99" s="21" t="str">
        <f aca="false">IF(N99="","",IF(N99&lt;=0,"",$K$2-G99/N99))</f>
        <v/>
      </c>
      <c r="P99" s="23" t="str">
        <f aca="false">IF(N99="","",3*N99)</f>
        <v/>
      </c>
      <c r="Q99" s="19" t="str">
        <f aca="false">IF(OR(E99="",G99="",G99=0),"",E99/G99)</f>
        <v/>
      </c>
      <c r="R99" s="21" t="str">
        <f aca="false">IF(OR(O99="",$P$3=""),"",O99-$P$3)</f>
        <v/>
      </c>
      <c r="S99" s="4"/>
      <c r="T99" s="4"/>
      <c r="U99" s="4"/>
      <c r="V99" s="17"/>
      <c r="W99" s="4"/>
    </row>
    <row r="100" customFormat="false" ht="15" hidden="false" customHeight="false" outlineLevel="0" collapsed="false">
      <c r="A100" s="8" t="str">
        <f aca="false">Connections!A98</f>
        <v>Q4</v>
      </c>
      <c r="B100" s="8" t="n">
        <f aca="false">Connections!D98</f>
        <v>27</v>
      </c>
      <c r="C100" s="8" t="n">
        <f aca="false">IF(Connections!E98="","",Connections!E98)</f>
        <v>27</v>
      </c>
      <c r="D100" s="8" t="str">
        <f aca="false">IF(Connections!B98="","",Connections!B98)</f>
        <v/>
      </c>
      <c r="E100" s="4"/>
      <c r="F100" s="4"/>
      <c r="G100" s="4"/>
      <c r="H100" s="23" t="str">
        <f aca="false">IF(G100="","",G100/2)</f>
        <v/>
      </c>
      <c r="I100" s="4"/>
      <c r="J100" s="4"/>
      <c r="K100" s="4"/>
      <c r="L100" s="23" t="str">
        <f aca="false">IF(K100="","",K100/2)</f>
        <v/>
      </c>
      <c r="M100" s="4"/>
      <c r="N100" s="22" t="str">
        <f aca="false">IF(OR(G100="",K100="",$K$2="",$K$3=""),"",(K100-G100)/($K$3-$K$2))</f>
        <v/>
      </c>
      <c r="O100" s="21" t="str">
        <f aca="false">IF(N100="","",IF(N100&lt;=0,"",$K$2-G100/N100))</f>
        <v/>
      </c>
      <c r="P100" s="23" t="str">
        <f aca="false">IF(N100="","",3*N100)</f>
        <v/>
      </c>
      <c r="Q100" s="19" t="str">
        <f aca="false">IF(OR(E100="",G100="",G100=0),"",E100/G100)</f>
        <v/>
      </c>
      <c r="R100" s="21" t="str">
        <f aca="false">IF(OR(O100="",$P$3=""),"",O100-$P$3)</f>
        <v/>
      </c>
      <c r="S100" s="4"/>
      <c r="T100" s="4"/>
      <c r="U100" s="4"/>
      <c r="V100" s="17"/>
      <c r="W100" s="4"/>
    </row>
    <row r="101" customFormat="false" ht="15" hidden="false" customHeight="false" outlineLevel="0" collapsed="false">
      <c r="A101" s="8" t="str">
        <f aca="false">Connections!A99</f>
        <v>Q4</v>
      </c>
      <c r="B101" s="8" t="n">
        <f aca="false">Connections!D99</f>
        <v>28</v>
      </c>
      <c r="C101" s="8" t="n">
        <f aca="false">IF(Connections!E99="","",Connections!E99)</f>
        <v>28</v>
      </c>
      <c r="D101" s="8" t="str">
        <f aca="false">IF(Connections!B99="","",Connections!B99)</f>
        <v/>
      </c>
      <c r="E101" s="4"/>
      <c r="F101" s="4"/>
      <c r="G101" s="4"/>
      <c r="H101" s="23" t="str">
        <f aca="false">IF(G101="","",G101/2)</f>
        <v/>
      </c>
      <c r="I101" s="4"/>
      <c r="J101" s="4"/>
      <c r="K101" s="4"/>
      <c r="L101" s="23" t="str">
        <f aca="false">IF(K101="","",K101/2)</f>
        <v/>
      </c>
      <c r="M101" s="4"/>
      <c r="N101" s="22" t="str">
        <f aca="false">IF(OR(G101="",K101="",$K$2="",$K$3=""),"",(K101-G101)/($K$3-$K$2))</f>
        <v/>
      </c>
      <c r="O101" s="21" t="str">
        <f aca="false">IF(N101="","",IF(N101&lt;=0,"",$K$2-G101/N101))</f>
        <v/>
      </c>
      <c r="P101" s="23" t="str">
        <f aca="false">IF(N101="","",3*N101)</f>
        <v/>
      </c>
      <c r="Q101" s="19" t="str">
        <f aca="false">IF(OR(E101="",G101="",G101=0),"",E101/G101)</f>
        <v/>
      </c>
      <c r="R101" s="21" t="str">
        <f aca="false">IF(OR(O101="",$P$3=""),"",O101-$P$3)</f>
        <v/>
      </c>
      <c r="S101" s="4"/>
      <c r="T101" s="4"/>
      <c r="U101" s="4"/>
      <c r="V101" s="17"/>
      <c r="W101" s="4"/>
    </row>
    <row r="102" customFormat="false" ht="15" hidden="false" customHeight="false" outlineLevel="0" collapsed="false">
      <c r="A102" s="8" t="str">
        <f aca="false">Connections!A100</f>
        <v>Q4</v>
      </c>
      <c r="B102" s="8" t="n">
        <f aca="false">Connections!D100</f>
        <v>29</v>
      </c>
      <c r="C102" s="8" t="n">
        <f aca="false">IF(Connections!E100="","",Connections!E100)</f>
        <v>29</v>
      </c>
      <c r="D102" s="8" t="str">
        <f aca="false">IF(Connections!B100="","",Connections!B100)</f>
        <v/>
      </c>
      <c r="E102" s="4"/>
      <c r="F102" s="4"/>
      <c r="G102" s="4"/>
      <c r="H102" s="23" t="str">
        <f aca="false">IF(G102="","",G102/2)</f>
        <v/>
      </c>
      <c r="I102" s="4"/>
      <c r="J102" s="4"/>
      <c r="K102" s="4"/>
      <c r="L102" s="23" t="str">
        <f aca="false">IF(K102="","",K102/2)</f>
        <v/>
      </c>
      <c r="M102" s="4"/>
      <c r="N102" s="22" t="str">
        <f aca="false">IF(OR(G102="",K102="",$K$2="",$K$3=""),"",(K102-G102)/($K$3-$K$2))</f>
        <v/>
      </c>
      <c r="O102" s="21" t="str">
        <f aca="false">IF(N102="","",IF(N102&lt;=0,"",$K$2-G102/N102))</f>
        <v/>
      </c>
      <c r="P102" s="23" t="str">
        <f aca="false">IF(N102="","",3*N102)</f>
        <v/>
      </c>
      <c r="Q102" s="19" t="str">
        <f aca="false">IF(OR(E102="",G102="",G102=0),"",E102/G102)</f>
        <v/>
      </c>
      <c r="R102" s="21" t="str">
        <f aca="false">IF(OR(O102="",$P$3=""),"",O102-$P$3)</f>
        <v/>
      </c>
      <c r="S102" s="4"/>
      <c r="T102" s="4"/>
      <c r="U102" s="4"/>
      <c r="V102" s="17"/>
      <c r="W102" s="4"/>
    </row>
    <row r="103" customFormat="false" ht="15" hidden="false" customHeight="false" outlineLevel="0" collapsed="false">
      <c r="A103" s="8" t="str">
        <f aca="false">Connections!A101</f>
        <v>Q4</v>
      </c>
      <c r="B103" s="8" t="n">
        <f aca="false">Connections!D101</f>
        <v>30</v>
      </c>
      <c r="C103" s="8" t="n">
        <f aca="false">IF(Connections!E101="","",Connections!E101)</f>
        <v>30</v>
      </c>
      <c r="D103" s="8" t="str">
        <f aca="false">IF(Connections!B101="","",Connections!B101)</f>
        <v/>
      </c>
      <c r="E103" s="4"/>
      <c r="F103" s="4"/>
      <c r="G103" s="4"/>
      <c r="H103" s="23" t="str">
        <f aca="false">IF(G103="","",G103/2)</f>
        <v/>
      </c>
      <c r="I103" s="4"/>
      <c r="J103" s="4"/>
      <c r="K103" s="4"/>
      <c r="L103" s="23" t="str">
        <f aca="false">IF(K103="","",K103/2)</f>
        <v/>
      </c>
      <c r="M103" s="4"/>
      <c r="N103" s="22" t="str">
        <f aca="false">IF(OR(G103="",K103="",$K$2="",$K$3=""),"",(K103-G103)/($K$3-$K$2))</f>
        <v/>
      </c>
      <c r="O103" s="21" t="str">
        <f aca="false">IF(N103="","",IF(N103&lt;=0,"",$K$2-G103/N103))</f>
        <v/>
      </c>
      <c r="P103" s="23" t="str">
        <f aca="false">IF(N103="","",3*N103)</f>
        <v/>
      </c>
      <c r="Q103" s="19" t="str">
        <f aca="false">IF(OR(E103="",G103="",G103=0),"",E103/G103)</f>
        <v/>
      </c>
      <c r="R103" s="21" t="str">
        <f aca="false">IF(OR(O103="",$P$3=""),"",O103-$P$3)</f>
        <v/>
      </c>
      <c r="S103" s="4"/>
      <c r="T103" s="4"/>
      <c r="U103" s="4"/>
      <c r="V103" s="17"/>
      <c r="W103" s="4"/>
    </row>
  </sheetData>
  <conditionalFormatting sqref="O8:O103">
    <cfRule type="expression" priority="2" aboveAverage="0" equalAverage="0" bottom="0" percent="0" rank="0" text="" dxfId="0">
      <formula>AND(ISNUMBER(O8),ISNUMBER($Q$3),$Q$3&gt;0,ABS(O8-$P$3)&gt;3*$Q$3)</formula>
    </cfRule>
  </conditionalFormatting>
  <conditionalFormatting sqref="Q8:Q103">
    <cfRule type="expression" priority="3" aboveAverage="0" equalAverage="0" bottom="0" percent="0" rank="0" text="" dxfId="1">
      <formula>AND(ISNUMBER(Q8),OR(Q8&lt;0.3,Q8&gt;0.7))</formula>
    </cfRule>
  </conditionalFormatting>
  <dataValidations count="2">
    <dataValidation allowBlank="true" operator="between" showDropDown="false" showErrorMessage="false" showInputMessage="false" sqref="I8:I103" type="list">
      <formula1>"Y,N"</formula1>
      <formula2>0</formula2>
    </dataValidation>
    <dataValidation allowBlank="true" operator="between" showDropDown="false" showErrorMessage="false" showInputMessage="false" sqref="M8:M103" type="list">
      <formula1>"Y,N"</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T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4" min="3" style="0" width="10"/>
    <col collapsed="false" customWidth="true" hidden="false" outlineLevel="0" max="5" min="5" style="0" width="9"/>
    <col collapsed="false" customWidth="true" hidden="false" outlineLevel="0" max="16" min="6" style="0" width="10"/>
    <col collapsed="false" customWidth="true" hidden="false" outlineLevel="0" max="17" min="17" style="0" width="32"/>
    <col collapsed="false" customWidth="true" hidden="false" outlineLevel="0" max="18" min="18" style="0" width="9"/>
    <col collapsed="false" customWidth="true" hidden="false" outlineLevel="0" max="19" min="19" style="0" width="11"/>
    <col collapsed="false" customWidth="true" hidden="false" outlineLevel="0" max="20" min="20" style="0" width="30"/>
  </cols>
  <sheetData>
    <row r="1" customFormat="false" ht="15" hidden="false" customHeight="false" outlineLevel="0" collapsed="false">
      <c r="A1" s="3" t="s">
        <v>103</v>
      </c>
    </row>
    <row r="2" customFormat="false" ht="15" hidden="false" customHeight="false" outlineLevel="0" collapsed="false">
      <c r="A2" s="14" t="s">
        <v>74</v>
      </c>
      <c r="D2" s="24" t="str">
        <f aca="false">IF('Initial char'!D2="","",'Initial char'!D2)</f>
        <v/>
      </c>
      <c r="F2" s="14" t="s">
        <v>104</v>
      </c>
    </row>
    <row r="3" customFormat="false" ht="15" hidden="false" customHeight="false" outlineLevel="0" collapsed="false">
      <c r="A3" s="14" t="s">
        <v>105</v>
      </c>
      <c r="D3" s="6" t="n">
        <v>1000</v>
      </c>
      <c r="F3" s="14" t="s">
        <v>106</v>
      </c>
      <c r="H3" s="18" t="n">
        <v>0.5</v>
      </c>
    </row>
    <row r="5" customFormat="false" ht="15" hidden="false" customHeight="false" outlineLevel="0" collapsed="false">
      <c r="F5" s="25" t="s">
        <v>107</v>
      </c>
      <c r="G5" s="26" t="n">
        <v>2</v>
      </c>
      <c r="H5" s="26" t="n">
        <v>3</v>
      </c>
      <c r="I5" s="26" t="n">
        <v>4</v>
      </c>
      <c r="J5" s="26" t="n">
        <v>5</v>
      </c>
      <c r="K5" s="26" t="n">
        <v>6</v>
      </c>
      <c r="L5" s="22" t="n">
        <f aca="false">G5</f>
        <v>2</v>
      </c>
      <c r="M5" s="22" t="n">
        <f aca="false">H5</f>
        <v>3</v>
      </c>
      <c r="N5" s="22" t="n">
        <f aca="false">I5</f>
        <v>4</v>
      </c>
      <c r="O5" s="22" t="n">
        <f aca="false">J5</f>
        <v>5</v>
      </c>
      <c r="P5" s="22" t="n">
        <f aca="false">K5</f>
        <v>6</v>
      </c>
    </row>
    <row r="6" customFormat="false" ht="42" hidden="false" customHeight="true" outlineLevel="0" collapsed="false">
      <c r="A6" s="10" t="s">
        <v>53</v>
      </c>
      <c r="B6" s="10" t="s">
        <v>56</v>
      </c>
      <c r="C6" s="10" t="s">
        <v>57</v>
      </c>
      <c r="D6" s="10" t="s">
        <v>54</v>
      </c>
      <c r="E6" s="10" t="s">
        <v>93</v>
      </c>
      <c r="F6" s="10" t="s">
        <v>92</v>
      </c>
      <c r="G6" s="10" t="s">
        <v>108</v>
      </c>
      <c r="H6" s="10" t="s">
        <v>109</v>
      </c>
      <c r="I6" s="10" t="s">
        <v>110</v>
      </c>
      <c r="J6" s="10" t="s">
        <v>111</v>
      </c>
      <c r="K6" s="10" t="s">
        <v>112</v>
      </c>
      <c r="L6" s="10" t="s">
        <v>113</v>
      </c>
      <c r="M6" s="10" t="s">
        <v>114</v>
      </c>
      <c r="N6" s="10" t="s">
        <v>115</v>
      </c>
      <c r="O6" s="10" t="s">
        <v>116</v>
      </c>
      <c r="P6" s="10" t="s">
        <v>117</v>
      </c>
      <c r="Q6" s="10" t="s">
        <v>118</v>
      </c>
      <c r="R6" s="10" t="s">
        <v>119</v>
      </c>
      <c r="S6" s="10" t="s">
        <v>120</v>
      </c>
      <c r="T6" s="10" t="s">
        <v>62</v>
      </c>
    </row>
    <row r="7" customFormat="false" ht="15" hidden="false" customHeight="false" outlineLevel="0" collapsed="false">
      <c r="A7" s="16" t="s">
        <v>63</v>
      </c>
      <c r="B7" s="16" t="n">
        <v>7</v>
      </c>
      <c r="C7" s="16" t="n">
        <v>7</v>
      </c>
      <c r="D7" s="16" t="n">
        <v>7</v>
      </c>
      <c r="E7" s="16" t="n">
        <v>45.13</v>
      </c>
      <c r="F7" s="16" t="n">
        <v>290</v>
      </c>
      <c r="G7" s="16" t="n">
        <v>47.13</v>
      </c>
      <c r="H7" s="16" t="n">
        <v>48.13</v>
      </c>
      <c r="I7" s="16" t="n">
        <v>49.13</v>
      </c>
      <c r="J7" s="16" t="n">
        <v>50.13</v>
      </c>
      <c r="K7" s="16" t="n">
        <v>51.13</v>
      </c>
      <c r="L7" s="16" t="n">
        <v>290</v>
      </c>
      <c r="M7" s="16" t="n">
        <v>435</v>
      </c>
      <c r="N7" s="16" t="n">
        <v>580</v>
      </c>
      <c r="O7" s="16" t="n">
        <v>725</v>
      </c>
      <c r="P7" s="16" t="n">
        <v>870</v>
      </c>
      <c r="Q7" s="16" t="s">
        <v>121</v>
      </c>
      <c r="R7" s="16" t="s">
        <v>65</v>
      </c>
      <c r="S7" s="16" t="s">
        <v>68</v>
      </c>
      <c r="T7" s="16" t="s">
        <v>69</v>
      </c>
    </row>
    <row r="8" customFormat="false" ht="15" hidden="false" customHeight="false" outlineLevel="0" collapsed="false">
      <c r="A8" s="8" t="str">
        <f aca="false">'Initial char'!A8</f>
        <v>Q1</v>
      </c>
      <c r="B8" s="8" t="n">
        <f aca="false">'Initial char'!B8</f>
        <v>1</v>
      </c>
      <c r="C8" s="8" t="n">
        <f aca="false">'Initial char'!C8</f>
        <v>1</v>
      </c>
      <c r="D8" s="8" t="str">
        <f aca="false">'Initial char'!D8</f>
        <v/>
      </c>
      <c r="E8" s="27" t="str">
        <f aca="false">IF('Initial char'!O8="","",'Initial char'!O8)</f>
        <v/>
      </c>
      <c r="F8" s="28" t="str">
        <f aca="false">IF('Initial char'!N8="","",'Initial char'!N8)</f>
        <v/>
      </c>
      <c r="G8" s="19" t="str">
        <f aca="false">IF($E8="","",$E8+G$5)</f>
        <v/>
      </c>
      <c r="H8" s="19" t="str">
        <f aca="false">IF($E8="","",$E8+H$5)</f>
        <v/>
      </c>
      <c r="I8" s="19" t="str">
        <f aca="false">IF($E8="","",$E8+I$5)</f>
        <v/>
      </c>
      <c r="J8" s="19" t="str">
        <f aca="false">IF($E8="","",$E8+J$5)</f>
        <v/>
      </c>
      <c r="K8" s="19" t="str">
        <f aca="false">IF($E8="","",$E8+K$5)</f>
        <v/>
      </c>
      <c r="L8" s="23" t="str">
        <f aca="false">IF($F8="","",ROUND($H$3*$F8*G$5,0))</f>
        <v/>
      </c>
      <c r="M8" s="23" t="str">
        <f aca="false">IF($F8="","",ROUND($H$3*$F8*H$5,0))</f>
        <v/>
      </c>
      <c r="N8" s="23" t="str">
        <f aca="false">IF($F8="","",ROUND($H$3*$F8*I$5,0))</f>
        <v/>
      </c>
      <c r="O8" s="23" t="str">
        <f aca="false">IF($F8="","",ROUND($H$3*$F8*J$5,0))</f>
        <v/>
      </c>
      <c r="P8" s="23" t="str">
        <f aca="false">IF($F8="","",ROUND($H$3*$F8*K$5,0))</f>
        <v/>
      </c>
      <c r="Q8" s="4"/>
      <c r="R8" s="4"/>
      <c r="S8" s="4"/>
      <c r="T8" s="4"/>
    </row>
    <row r="9" customFormat="false" ht="15" hidden="false" customHeight="false" outlineLevel="0" collapsed="false">
      <c r="A9" s="8" t="str">
        <f aca="false">'Initial char'!A9</f>
        <v>Q1</v>
      </c>
      <c r="B9" s="8" t="n">
        <f aca="false">'Initial char'!B9</f>
        <v>2</v>
      </c>
      <c r="C9" s="8" t="n">
        <f aca="false">'Initial char'!C9</f>
        <v>2</v>
      </c>
      <c r="D9" s="8" t="str">
        <f aca="false">'Initial char'!D9</f>
        <v/>
      </c>
      <c r="E9" s="27" t="str">
        <f aca="false">IF('Initial char'!O9="","",'Initial char'!O9)</f>
        <v/>
      </c>
      <c r="F9" s="28" t="str">
        <f aca="false">IF('Initial char'!N9="","",'Initial char'!N9)</f>
        <v/>
      </c>
      <c r="G9" s="19" t="str">
        <f aca="false">IF($E9="","",$E9+G$5)</f>
        <v/>
      </c>
      <c r="H9" s="19" t="str">
        <f aca="false">IF($E9="","",$E9+H$5)</f>
        <v/>
      </c>
      <c r="I9" s="19" t="str">
        <f aca="false">IF($E9="","",$E9+I$5)</f>
        <v/>
      </c>
      <c r="J9" s="19" t="str">
        <f aca="false">IF($E9="","",$E9+J$5)</f>
        <v/>
      </c>
      <c r="K9" s="19" t="str">
        <f aca="false">IF($E9="","",$E9+K$5)</f>
        <v/>
      </c>
      <c r="L9" s="23" t="str">
        <f aca="false">IF($F9="","",ROUND($H$3*$F9*G$5,0))</f>
        <v/>
      </c>
      <c r="M9" s="23" t="str">
        <f aca="false">IF($F9="","",ROUND($H$3*$F9*H$5,0))</f>
        <v/>
      </c>
      <c r="N9" s="23" t="str">
        <f aca="false">IF($F9="","",ROUND($H$3*$F9*I$5,0))</f>
        <v/>
      </c>
      <c r="O9" s="23" t="str">
        <f aca="false">IF($F9="","",ROUND($H$3*$F9*J$5,0))</f>
        <v/>
      </c>
      <c r="P9" s="23" t="str">
        <f aca="false">IF($F9="","",ROUND($H$3*$F9*K$5,0))</f>
        <v/>
      </c>
      <c r="Q9" s="4"/>
      <c r="R9" s="4"/>
      <c r="S9" s="4"/>
      <c r="T9" s="4"/>
    </row>
    <row r="10" customFormat="false" ht="15" hidden="false" customHeight="false" outlineLevel="0" collapsed="false">
      <c r="A10" s="8" t="str">
        <f aca="false">'Initial char'!A10</f>
        <v>Q1</v>
      </c>
      <c r="B10" s="8" t="n">
        <f aca="false">'Initial char'!B10</f>
        <v>3</v>
      </c>
      <c r="C10" s="8" t="n">
        <f aca="false">'Initial char'!C10</f>
        <v>3</v>
      </c>
      <c r="D10" s="8" t="str">
        <f aca="false">'Initial char'!D10</f>
        <v/>
      </c>
      <c r="E10" s="27" t="str">
        <f aca="false">IF('Initial char'!O10="","",'Initial char'!O10)</f>
        <v/>
      </c>
      <c r="F10" s="28" t="str">
        <f aca="false">IF('Initial char'!N10="","",'Initial char'!N10)</f>
        <v/>
      </c>
      <c r="G10" s="19" t="str">
        <f aca="false">IF($E10="","",$E10+G$5)</f>
        <v/>
      </c>
      <c r="H10" s="19" t="str">
        <f aca="false">IF($E10="","",$E10+H$5)</f>
        <v/>
      </c>
      <c r="I10" s="19" t="str">
        <f aca="false">IF($E10="","",$E10+I$5)</f>
        <v/>
      </c>
      <c r="J10" s="19" t="str">
        <f aca="false">IF($E10="","",$E10+J$5)</f>
        <v/>
      </c>
      <c r="K10" s="19" t="str">
        <f aca="false">IF($E10="","",$E10+K$5)</f>
        <v/>
      </c>
      <c r="L10" s="23" t="str">
        <f aca="false">IF($F10="","",ROUND($H$3*$F10*G$5,0))</f>
        <v/>
      </c>
      <c r="M10" s="23" t="str">
        <f aca="false">IF($F10="","",ROUND($H$3*$F10*H$5,0))</f>
        <v/>
      </c>
      <c r="N10" s="23" t="str">
        <f aca="false">IF($F10="","",ROUND($H$3*$F10*I$5,0))</f>
        <v/>
      </c>
      <c r="O10" s="23" t="str">
        <f aca="false">IF($F10="","",ROUND($H$3*$F10*J$5,0))</f>
        <v/>
      </c>
      <c r="P10" s="23" t="str">
        <f aca="false">IF($F10="","",ROUND($H$3*$F10*K$5,0))</f>
        <v/>
      </c>
      <c r="Q10" s="4"/>
      <c r="R10" s="4"/>
      <c r="S10" s="4"/>
      <c r="T10" s="4"/>
    </row>
    <row r="11" customFormat="false" ht="15" hidden="false" customHeight="false" outlineLevel="0" collapsed="false">
      <c r="A11" s="8" t="str">
        <f aca="false">'Initial char'!A11</f>
        <v>Q1</v>
      </c>
      <c r="B11" s="8" t="n">
        <f aca="false">'Initial char'!B11</f>
        <v>4</v>
      </c>
      <c r="C11" s="8" t="n">
        <f aca="false">'Initial char'!C11</f>
        <v>4</v>
      </c>
      <c r="D11" s="8" t="str">
        <f aca="false">'Initial char'!D11</f>
        <v/>
      </c>
      <c r="E11" s="27" t="str">
        <f aca="false">IF('Initial char'!O11="","",'Initial char'!O11)</f>
        <v/>
      </c>
      <c r="F11" s="28" t="str">
        <f aca="false">IF('Initial char'!N11="","",'Initial char'!N11)</f>
        <v/>
      </c>
      <c r="G11" s="19" t="str">
        <f aca="false">IF($E11="","",$E11+G$5)</f>
        <v/>
      </c>
      <c r="H11" s="19" t="str">
        <f aca="false">IF($E11="","",$E11+H$5)</f>
        <v/>
      </c>
      <c r="I11" s="19" t="str">
        <f aca="false">IF($E11="","",$E11+I$5)</f>
        <v/>
      </c>
      <c r="J11" s="19" t="str">
        <f aca="false">IF($E11="","",$E11+J$5)</f>
        <v/>
      </c>
      <c r="K11" s="19" t="str">
        <f aca="false">IF($E11="","",$E11+K$5)</f>
        <v/>
      </c>
      <c r="L11" s="23" t="str">
        <f aca="false">IF($F11="","",ROUND($H$3*$F11*G$5,0))</f>
        <v/>
      </c>
      <c r="M11" s="23" t="str">
        <f aca="false">IF($F11="","",ROUND($H$3*$F11*H$5,0))</f>
        <v/>
      </c>
      <c r="N11" s="23" t="str">
        <f aca="false">IF($F11="","",ROUND($H$3*$F11*I$5,0))</f>
        <v/>
      </c>
      <c r="O11" s="23" t="str">
        <f aca="false">IF($F11="","",ROUND($H$3*$F11*J$5,0))</f>
        <v/>
      </c>
      <c r="P11" s="23" t="str">
        <f aca="false">IF($F11="","",ROUND($H$3*$F11*K$5,0))</f>
        <v/>
      </c>
      <c r="Q11" s="4"/>
      <c r="R11" s="4"/>
      <c r="S11" s="4"/>
      <c r="T11" s="4"/>
    </row>
    <row r="12" customFormat="false" ht="15" hidden="false" customHeight="false" outlineLevel="0" collapsed="false">
      <c r="A12" s="8" t="str">
        <f aca="false">'Initial char'!A12</f>
        <v>Q1</v>
      </c>
      <c r="B12" s="8" t="n">
        <f aca="false">'Initial char'!B12</f>
        <v>5</v>
      </c>
      <c r="C12" s="8" t="n">
        <f aca="false">'Initial char'!C12</f>
        <v>5</v>
      </c>
      <c r="D12" s="8" t="str">
        <f aca="false">'Initial char'!D12</f>
        <v/>
      </c>
      <c r="E12" s="27" t="str">
        <f aca="false">IF('Initial char'!O12="","",'Initial char'!O12)</f>
        <v/>
      </c>
      <c r="F12" s="28" t="str">
        <f aca="false">IF('Initial char'!N12="","",'Initial char'!N12)</f>
        <v/>
      </c>
      <c r="G12" s="19" t="str">
        <f aca="false">IF($E12="","",$E12+G$5)</f>
        <v/>
      </c>
      <c r="H12" s="19" t="str">
        <f aca="false">IF($E12="","",$E12+H$5)</f>
        <v/>
      </c>
      <c r="I12" s="19" t="str">
        <f aca="false">IF($E12="","",$E12+I$5)</f>
        <v/>
      </c>
      <c r="J12" s="19" t="str">
        <f aca="false">IF($E12="","",$E12+J$5)</f>
        <v/>
      </c>
      <c r="K12" s="19" t="str">
        <f aca="false">IF($E12="","",$E12+K$5)</f>
        <v/>
      </c>
      <c r="L12" s="23" t="str">
        <f aca="false">IF($F12="","",ROUND($H$3*$F12*G$5,0))</f>
        <v/>
      </c>
      <c r="M12" s="23" t="str">
        <f aca="false">IF($F12="","",ROUND($H$3*$F12*H$5,0))</f>
        <v/>
      </c>
      <c r="N12" s="23" t="str">
        <f aca="false">IF($F12="","",ROUND($H$3*$F12*I$5,0))</f>
        <v/>
      </c>
      <c r="O12" s="23" t="str">
        <f aca="false">IF($F12="","",ROUND($H$3*$F12*J$5,0))</f>
        <v/>
      </c>
      <c r="P12" s="23" t="str">
        <f aca="false">IF($F12="","",ROUND($H$3*$F12*K$5,0))</f>
        <v/>
      </c>
      <c r="Q12" s="4"/>
      <c r="R12" s="4"/>
      <c r="S12" s="4"/>
      <c r="T12" s="4"/>
    </row>
    <row r="13" customFormat="false" ht="15" hidden="false" customHeight="false" outlineLevel="0" collapsed="false">
      <c r="A13" s="8" t="str">
        <f aca="false">'Initial char'!A13</f>
        <v>Q1</v>
      </c>
      <c r="B13" s="8" t="n">
        <f aca="false">'Initial char'!B13</f>
        <v>6</v>
      </c>
      <c r="C13" s="8" t="n">
        <f aca="false">'Initial char'!C13</f>
        <v>6</v>
      </c>
      <c r="D13" s="8" t="str">
        <f aca="false">'Initial char'!D13</f>
        <v/>
      </c>
      <c r="E13" s="27" t="str">
        <f aca="false">IF('Initial char'!O13="","",'Initial char'!O13)</f>
        <v/>
      </c>
      <c r="F13" s="28" t="str">
        <f aca="false">IF('Initial char'!N13="","",'Initial char'!N13)</f>
        <v/>
      </c>
      <c r="G13" s="19" t="str">
        <f aca="false">IF($E13="","",$E13+G$5)</f>
        <v/>
      </c>
      <c r="H13" s="19" t="str">
        <f aca="false">IF($E13="","",$E13+H$5)</f>
        <v/>
      </c>
      <c r="I13" s="19" t="str">
        <f aca="false">IF($E13="","",$E13+I$5)</f>
        <v/>
      </c>
      <c r="J13" s="19" t="str">
        <f aca="false">IF($E13="","",$E13+J$5)</f>
        <v/>
      </c>
      <c r="K13" s="19" t="str">
        <f aca="false">IF($E13="","",$E13+K$5)</f>
        <v/>
      </c>
      <c r="L13" s="23" t="str">
        <f aca="false">IF($F13="","",ROUND($H$3*$F13*G$5,0))</f>
        <v/>
      </c>
      <c r="M13" s="23" t="str">
        <f aca="false">IF($F13="","",ROUND($H$3*$F13*H$5,0))</f>
        <v/>
      </c>
      <c r="N13" s="23" t="str">
        <f aca="false">IF($F13="","",ROUND($H$3*$F13*I$5,0))</f>
        <v/>
      </c>
      <c r="O13" s="23" t="str">
        <f aca="false">IF($F13="","",ROUND($H$3*$F13*J$5,0))</f>
        <v/>
      </c>
      <c r="P13" s="23" t="str">
        <f aca="false">IF($F13="","",ROUND($H$3*$F13*K$5,0))</f>
        <v/>
      </c>
      <c r="Q13" s="4"/>
      <c r="R13" s="4"/>
      <c r="S13" s="4"/>
      <c r="T13" s="4"/>
    </row>
    <row r="14" customFormat="false" ht="15" hidden="false" customHeight="false" outlineLevel="0" collapsed="false">
      <c r="A14" s="8" t="str">
        <f aca="false">'Initial char'!A14</f>
        <v>Q1</v>
      </c>
      <c r="B14" s="8" t="n">
        <f aca="false">'Initial char'!B14</f>
        <v>7</v>
      </c>
      <c r="C14" s="8" t="n">
        <f aca="false">'Initial char'!C14</f>
        <v>7</v>
      </c>
      <c r="D14" s="8" t="str">
        <f aca="false">'Initial char'!D14</f>
        <v/>
      </c>
      <c r="E14" s="27" t="str">
        <f aca="false">IF('Initial char'!O14="","",'Initial char'!O14)</f>
        <v/>
      </c>
      <c r="F14" s="28" t="str">
        <f aca="false">IF('Initial char'!N14="","",'Initial char'!N14)</f>
        <v/>
      </c>
      <c r="G14" s="19" t="str">
        <f aca="false">IF($E14="","",$E14+G$5)</f>
        <v/>
      </c>
      <c r="H14" s="19" t="str">
        <f aca="false">IF($E14="","",$E14+H$5)</f>
        <v/>
      </c>
      <c r="I14" s="19" t="str">
        <f aca="false">IF($E14="","",$E14+I$5)</f>
        <v/>
      </c>
      <c r="J14" s="19" t="str">
        <f aca="false">IF($E14="","",$E14+J$5)</f>
        <v/>
      </c>
      <c r="K14" s="19" t="str">
        <f aca="false">IF($E14="","",$E14+K$5)</f>
        <v/>
      </c>
      <c r="L14" s="23" t="str">
        <f aca="false">IF($F14="","",ROUND($H$3*$F14*G$5,0))</f>
        <v/>
      </c>
      <c r="M14" s="23" t="str">
        <f aca="false">IF($F14="","",ROUND($H$3*$F14*H$5,0))</f>
        <v/>
      </c>
      <c r="N14" s="23" t="str">
        <f aca="false">IF($F14="","",ROUND($H$3*$F14*I$5,0))</f>
        <v/>
      </c>
      <c r="O14" s="23" t="str">
        <f aca="false">IF($F14="","",ROUND($H$3*$F14*J$5,0))</f>
        <v/>
      </c>
      <c r="P14" s="23" t="str">
        <f aca="false">IF($F14="","",ROUND($H$3*$F14*K$5,0))</f>
        <v/>
      </c>
      <c r="Q14" s="4"/>
      <c r="R14" s="4"/>
      <c r="S14" s="4"/>
      <c r="T14" s="4"/>
    </row>
    <row r="15" customFormat="false" ht="15" hidden="false" customHeight="false" outlineLevel="0" collapsed="false">
      <c r="A15" s="8" t="str">
        <f aca="false">'Initial char'!A15</f>
        <v>Q1</v>
      </c>
      <c r="B15" s="8" t="n">
        <f aca="false">'Initial char'!B15</f>
        <v>8</v>
      </c>
      <c r="C15" s="8" t="n">
        <f aca="false">'Initial char'!C15</f>
        <v>8</v>
      </c>
      <c r="D15" s="8" t="str">
        <f aca="false">'Initial char'!D15</f>
        <v/>
      </c>
      <c r="E15" s="27" t="str">
        <f aca="false">IF('Initial char'!O15="","",'Initial char'!O15)</f>
        <v/>
      </c>
      <c r="F15" s="28" t="str">
        <f aca="false">IF('Initial char'!N15="","",'Initial char'!N15)</f>
        <v/>
      </c>
      <c r="G15" s="19" t="str">
        <f aca="false">IF($E15="","",$E15+G$5)</f>
        <v/>
      </c>
      <c r="H15" s="19" t="str">
        <f aca="false">IF($E15="","",$E15+H$5)</f>
        <v/>
      </c>
      <c r="I15" s="19" t="str">
        <f aca="false">IF($E15="","",$E15+I$5)</f>
        <v/>
      </c>
      <c r="J15" s="19" t="str">
        <f aca="false">IF($E15="","",$E15+J$5)</f>
        <v/>
      </c>
      <c r="K15" s="19" t="str">
        <f aca="false">IF($E15="","",$E15+K$5)</f>
        <v/>
      </c>
      <c r="L15" s="23" t="str">
        <f aca="false">IF($F15="","",ROUND($H$3*$F15*G$5,0))</f>
        <v/>
      </c>
      <c r="M15" s="23" t="str">
        <f aca="false">IF($F15="","",ROUND($H$3*$F15*H$5,0))</f>
        <v/>
      </c>
      <c r="N15" s="23" t="str">
        <f aca="false">IF($F15="","",ROUND($H$3*$F15*I$5,0))</f>
        <v/>
      </c>
      <c r="O15" s="23" t="str">
        <f aca="false">IF($F15="","",ROUND($H$3*$F15*J$5,0))</f>
        <v/>
      </c>
      <c r="P15" s="23" t="str">
        <f aca="false">IF($F15="","",ROUND($H$3*$F15*K$5,0))</f>
        <v/>
      </c>
      <c r="Q15" s="4"/>
      <c r="R15" s="4"/>
      <c r="S15" s="4"/>
      <c r="T15" s="4"/>
    </row>
    <row r="16" customFormat="false" ht="15" hidden="false" customHeight="false" outlineLevel="0" collapsed="false">
      <c r="A16" s="8" t="str">
        <f aca="false">'Initial char'!A16</f>
        <v>Q1</v>
      </c>
      <c r="B16" s="8" t="n">
        <f aca="false">'Initial char'!B16</f>
        <v>9</v>
      </c>
      <c r="C16" s="8" t="n">
        <f aca="false">'Initial char'!C16</f>
        <v>9</v>
      </c>
      <c r="D16" s="8" t="str">
        <f aca="false">'Initial char'!D16</f>
        <v/>
      </c>
      <c r="E16" s="27" t="str">
        <f aca="false">IF('Initial char'!O16="","",'Initial char'!O16)</f>
        <v/>
      </c>
      <c r="F16" s="28" t="str">
        <f aca="false">IF('Initial char'!N16="","",'Initial char'!N16)</f>
        <v/>
      </c>
      <c r="G16" s="19" t="str">
        <f aca="false">IF($E16="","",$E16+G$5)</f>
        <v/>
      </c>
      <c r="H16" s="19" t="str">
        <f aca="false">IF($E16="","",$E16+H$5)</f>
        <v/>
      </c>
      <c r="I16" s="19" t="str">
        <f aca="false">IF($E16="","",$E16+I$5)</f>
        <v/>
      </c>
      <c r="J16" s="19" t="str">
        <f aca="false">IF($E16="","",$E16+J$5)</f>
        <v/>
      </c>
      <c r="K16" s="19" t="str">
        <f aca="false">IF($E16="","",$E16+K$5)</f>
        <v/>
      </c>
      <c r="L16" s="23" t="str">
        <f aca="false">IF($F16="","",ROUND($H$3*$F16*G$5,0))</f>
        <v/>
      </c>
      <c r="M16" s="23" t="str">
        <f aca="false">IF($F16="","",ROUND($H$3*$F16*H$5,0))</f>
        <v/>
      </c>
      <c r="N16" s="23" t="str">
        <f aca="false">IF($F16="","",ROUND($H$3*$F16*I$5,0))</f>
        <v/>
      </c>
      <c r="O16" s="23" t="str">
        <f aca="false">IF($F16="","",ROUND($H$3*$F16*J$5,0))</f>
        <v/>
      </c>
      <c r="P16" s="23" t="str">
        <f aca="false">IF($F16="","",ROUND($H$3*$F16*K$5,0))</f>
        <v/>
      </c>
      <c r="Q16" s="4"/>
      <c r="R16" s="4"/>
      <c r="S16" s="4"/>
      <c r="T16" s="4"/>
    </row>
    <row r="17" customFormat="false" ht="15" hidden="false" customHeight="false" outlineLevel="0" collapsed="false">
      <c r="A17" s="8" t="str">
        <f aca="false">'Initial char'!A17</f>
        <v>Q1</v>
      </c>
      <c r="B17" s="8" t="n">
        <f aca="false">'Initial char'!B17</f>
        <v>10</v>
      </c>
      <c r="C17" s="8" t="n">
        <f aca="false">'Initial char'!C17</f>
        <v>10</v>
      </c>
      <c r="D17" s="8" t="str">
        <f aca="false">'Initial char'!D17</f>
        <v/>
      </c>
      <c r="E17" s="27" t="str">
        <f aca="false">IF('Initial char'!O17="","",'Initial char'!O17)</f>
        <v/>
      </c>
      <c r="F17" s="28" t="str">
        <f aca="false">IF('Initial char'!N17="","",'Initial char'!N17)</f>
        <v/>
      </c>
      <c r="G17" s="19" t="str">
        <f aca="false">IF($E17="","",$E17+G$5)</f>
        <v/>
      </c>
      <c r="H17" s="19" t="str">
        <f aca="false">IF($E17="","",$E17+H$5)</f>
        <v/>
      </c>
      <c r="I17" s="19" t="str">
        <f aca="false">IF($E17="","",$E17+I$5)</f>
        <v/>
      </c>
      <c r="J17" s="19" t="str">
        <f aca="false">IF($E17="","",$E17+J$5)</f>
        <v/>
      </c>
      <c r="K17" s="19" t="str">
        <f aca="false">IF($E17="","",$E17+K$5)</f>
        <v/>
      </c>
      <c r="L17" s="23" t="str">
        <f aca="false">IF($F17="","",ROUND($H$3*$F17*G$5,0))</f>
        <v/>
      </c>
      <c r="M17" s="23" t="str">
        <f aca="false">IF($F17="","",ROUND($H$3*$F17*H$5,0))</f>
        <v/>
      </c>
      <c r="N17" s="23" t="str">
        <f aca="false">IF($F17="","",ROUND($H$3*$F17*I$5,0))</f>
        <v/>
      </c>
      <c r="O17" s="23" t="str">
        <f aca="false">IF($F17="","",ROUND($H$3*$F17*J$5,0))</f>
        <v/>
      </c>
      <c r="P17" s="23" t="str">
        <f aca="false">IF($F17="","",ROUND($H$3*$F17*K$5,0))</f>
        <v/>
      </c>
      <c r="Q17" s="4"/>
      <c r="R17" s="4"/>
      <c r="S17" s="4"/>
      <c r="T17" s="4"/>
    </row>
    <row r="18" customFormat="false" ht="15" hidden="false" customHeight="false" outlineLevel="0" collapsed="false">
      <c r="A18" s="8" t="str">
        <f aca="false">'Initial char'!A18</f>
        <v>Q1</v>
      </c>
      <c r="B18" s="8" t="n">
        <f aca="false">'Initial char'!B18</f>
        <v>11</v>
      </c>
      <c r="C18" s="8" t="n">
        <f aca="false">'Initial char'!C18</f>
        <v>11</v>
      </c>
      <c r="D18" s="8" t="str">
        <f aca="false">'Initial char'!D18</f>
        <v/>
      </c>
      <c r="E18" s="27" t="str">
        <f aca="false">IF('Initial char'!O18="","",'Initial char'!O18)</f>
        <v/>
      </c>
      <c r="F18" s="28" t="str">
        <f aca="false">IF('Initial char'!N18="","",'Initial char'!N18)</f>
        <v/>
      </c>
      <c r="G18" s="19" t="str">
        <f aca="false">IF($E18="","",$E18+G$5)</f>
        <v/>
      </c>
      <c r="H18" s="19" t="str">
        <f aca="false">IF($E18="","",$E18+H$5)</f>
        <v/>
      </c>
      <c r="I18" s="19" t="str">
        <f aca="false">IF($E18="","",$E18+I$5)</f>
        <v/>
      </c>
      <c r="J18" s="19" t="str">
        <f aca="false">IF($E18="","",$E18+J$5)</f>
        <v/>
      </c>
      <c r="K18" s="19" t="str">
        <f aca="false">IF($E18="","",$E18+K$5)</f>
        <v/>
      </c>
      <c r="L18" s="23" t="str">
        <f aca="false">IF($F18="","",ROUND($H$3*$F18*G$5,0))</f>
        <v/>
      </c>
      <c r="M18" s="23" t="str">
        <f aca="false">IF($F18="","",ROUND($H$3*$F18*H$5,0))</f>
        <v/>
      </c>
      <c r="N18" s="23" t="str">
        <f aca="false">IF($F18="","",ROUND($H$3*$F18*I$5,0))</f>
        <v/>
      </c>
      <c r="O18" s="23" t="str">
        <f aca="false">IF($F18="","",ROUND($H$3*$F18*J$5,0))</f>
        <v/>
      </c>
      <c r="P18" s="23" t="str">
        <f aca="false">IF($F18="","",ROUND($H$3*$F18*K$5,0))</f>
        <v/>
      </c>
      <c r="Q18" s="4"/>
      <c r="R18" s="4"/>
      <c r="S18" s="4"/>
      <c r="T18" s="4"/>
    </row>
    <row r="19" customFormat="false" ht="15" hidden="false" customHeight="false" outlineLevel="0" collapsed="false">
      <c r="A19" s="8" t="str">
        <f aca="false">'Initial char'!A19</f>
        <v>Q1</v>
      </c>
      <c r="B19" s="8" t="n">
        <f aca="false">'Initial char'!B19</f>
        <v>12</v>
      </c>
      <c r="C19" s="8" t="n">
        <f aca="false">'Initial char'!C19</f>
        <v>12</v>
      </c>
      <c r="D19" s="8" t="str">
        <f aca="false">'Initial char'!D19</f>
        <v/>
      </c>
      <c r="E19" s="27" t="str">
        <f aca="false">IF('Initial char'!O19="","",'Initial char'!O19)</f>
        <v/>
      </c>
      <c r="F19" s="28" t="str">
        <f aca="false">IF('Initial char'!N19="","",'Initial char'!N19)</f>
        <v/>
      </c>
      <c r="G19" s="19" t="str">
        <f aca="false">IF($E19="","",$E19+G$5)</f>
        <v/>
      </c>
      <c r="H19" s="19" t="str">
        <f aca="false">IF($E19="","",$E19+H$5)</f>
        <v/>
      </c>
      <c r="I19" s="19" t="str">
        <f aca="false">IF($E19="","",$E19+I$5)</f>
        <v/>
      </c>
      <c r="J19" s="19" t="str">
        <f aca="false">IF($E19="","",$E19+J$5)</f>
        <v/>
      </c>
      <c r="K19" s="19" t="str">
        <f aca="false">IF($E19="","",$E19+K$5)</f>
        <v/>
      </c>
      <c r="L19" s="23" t="str">
        <f aca="false">IF($F19="","",ROUND($H$3*$F19*G$5,0))</f>
        <v/>
      </c>
      <c r="M19" s="23" t="str">
        <f aca="false">IF($F19="","",ROUND($H$3*$F19*H$5,0))</f>
        <v/>
      </c>
      <c r="N19" s="23" t="str">
        <f aca="false">IF($F19="","",ROUND($H$3*$F19*I$5,0))</f>
        <v/>
      </c>
      <c r="O19" s="23" t="str">
        <f aca="false">IF($F19="","",ROUND($H$3*$F19*J$5,0))</f>
        <v/>
      </c>
      <c r="P19" s="23" t="str">
        <f aca="false">IF($F19="","",ROUND($H$3*$F19*K$5,0))</f>
        <v/>
      </c>
      <c r="Q19" s="4"/>
      <c r="R19" s="4"/>
      <c r="S19" s="4"/>
      <c r="T19" s="4"/>
    </row>
    <row r="20" customFormat="false" ht="15" hidden="false" customHeight="false" outlineLevel="0" collapsed="false">
      <c r="A20" s="8" t="str">
        <f aca="false">'Initial char'!A20</f>
        <v>Q1</v>
      </c>
      <c r="B20" s="8" t="n">
        <f aca="false">'Initial char'!B20</f>
        <v>13</v>
      </c>
      <c r="C20" s="8" t="n">
        <f aca="false">'Initial char'!C20</f>
        <v>13</v>
      </c>
      <c r="D20" s="8" t="str">
        <f aca="false">'Initial char'!D20</f>
        <v/>
      </c>
      <c r="E20" s="27" t="str">
        <f aca="false">IF('Initial char'!O20="","",'Initial char'!O20)</f>
        <v/>
      </c>
      <c r="F20" s="28" t="str">
        <f aca="false">IF('Initial char'!N20="","",'Initial char'!N20)</f>
        <v/>
      </c>
      <c r="G20" s="19" t="str">
        <f aca="false">IF($E20="","",$E20+G$5)</f>
        <v/>
      </c>
      <c r="H20" s="19" t="str">
        <f aca="false">IF($E20="","",$E20+H$5)</f>
        <v/>
      </c>
      <c r="I20" s="19" t="str">
        <f aca="false">IF($E20="","",$E20+I$5)</f>
        <v/>
      </c>
      <c r="J20" s="19" t="str">
        <f aca="false">IF($E20="","",$E20+J$5)</f>
        <v/>
      </c>
      <c r="K20" s="19" t="str">
        <f aca="false">IF($E20="","",$E20+K$5)</f>
        <v/>
      </c>
      <c r="L20" s="23" t="str">
        <f aca="false">IF($F20="","",ROUND($H$3*$F20*G$5,0))</f>
        <v/>
      </c>
      <c r="M20" s="23" t="str">
        <f aca="false">IF($F20="","",ROUND($H$3*$F20*H$5,0))</f>
        <v/>
      </c>
      <c r="N20" s="23" t="str">
        <f aca="false">IF($F20="","",ROUND($H$3*$F20*I$5,0))</f>
        <v/>
      </c>
      <c r="O20" s="23" t="str">
        <f aca="false">IF($F20="","",ROUND($H$3*$F20*J$5,0))</f>
        <v/>
      </c>
      <c r="P20" s="23" t="str">
        <f aca="false">IF($F20="","",ROUND($H$3*$F20*K$5,0))</f>
        <v/>
      </c>
      <c r="Q20" s="4"/>
      <c r="R20" s="4"/>
      <c r="S20" s="4"/>
      <c r="T20" s="4"/>
    </row>
    <row r="21" customFormat="false" ht="15" hidden="false" customHeight="false" outlineLevel="0" collapsed="false">
      <c r="A21" s="8" t="str">
        <f aca="false">'Initial char'!A21</f>
        <v>Q1</v>
      </c>
      <c r="B21" s="8" t="n">
        <f aca="false">'Initial char'!B21</f>
        <v>14</v>
      </c>
      <c r="C21" s="8" t="n">
        <f aca="false">'Initial char'!C21</f>
        <v>14</v>
      </c>
      <c r="D21" s="8" t="str">
        <f aca="false">'Initial char'!D21</f>
        <v/>
      </c>
      <c r="E21" s="27" t="str">
        <f aca="false">IF('Initial char'!O21="","",'Initial char'!O21)</f>
        <v/>
      </c>
      <c r="F21" s="28" t="str">
        <f aca="false">IF('Initial char'!N21="","",'Initial char'!N21)</f>
        <v/>
      </c>
      <c r="G21" s="19" t="str">
        <f aca="false">IF($E21="","",$E21+G$5)</f>
        <v/>
      </c>
      <c r="H21" s="19" t="str">
        <f aca="false">IF($E21="","",$E21+H$5)</f>
        <v/>
      </c>
      <c r="I21" s="19" t="str">
        <f aca="false">IF($E21="","",$E21+I$5)</f>
        <v/>
      </c>
      <c r="J21" s="19" t="str">
        <f aca="false">IF($E21="","",$E21+J$5)</f>
        <v/>
      </c>
      <c r="K21" s="19" t="str">
        <f aca="false">IF($E21="","",$E21+K$5)</f>
        <v/>
      </c>
      <c r="L21" s="23" t="str">
        <f aca="false">IF($F21="","",ROUND($H$3*$F21*G$5,0))</f>
        <v/>
      </c>
      <c r="M21" s="23" t="str">
        <f aca="false">IF($F21="","",ROUND($H$3*$F21*H$5,0))</f>
        <v/>
      </c>
      <c r="N21" s="23" t="str">
        <f aca="false">IF($F21="","",ROUND($H$3*$F21*I$5,0))</f>
        <v/>
      </c>
      <c r="O21" s="23" t="str">
        <f aca="false">IF($F21="","",ROUND($H$3*$F21*J$5,0))</f>
        <v/>
      </c>
      <c r="P21" s="23" t="str">
        <f aca="false">IF($F21="","",ROUND($H$3*$F21*K$5,0))</f>
        <v/>
      </c>
      <c r="Q21" s="4"/>
      <c r="R21" s="4"/>
      <c r="S21" s="4"/>
      <c r="T21" s="4"/>
    </row>
    <row r="22" customFormat="false" ht="15" hidden="false" customHeight="false" outlineLevel="0" collapsed="false">
      <c r="A22" s="8" t="str">
        <f aca="false">'Initial char'!A22</f>
        <v>Q1</v>
      </c>
      <c r="B22" s="8" t="n">
        <f aca="false">'Initial char'!B22</f>
        <v>15</v>
      </c>
      <c r="C22" s="8" t="n">
        <f aca="false">'Initial char'!C22</f>
        <v>15</v>
      </c>
      <c r="D22" s="8" t="str">
        <f aca="false">'Initial char'!D22</f>
        <v/>
      </c>
      <c r="E22" s="27" t="str">
        <f aca="false">IF('Initial char'!O22="","",'Initial char'!O22)</f>
        <v/>
      </c>
      <c r="F22" s="28" t="str">
        <f aca="false">IF('Initial char'!N22="","",'Initial char'!N22)</f>
        <v/>
      </c>
      <c r="G22" s="19" t="str">
        <f aca="false">IF($E22="","",$E22+G$5)</f>
        <v/>
      </c>
      <c r="H22" s="19" t="str">
        <f aca="false">IF($E22="","",$E22+H$5)</f>
        <v/>
      </c>
      <c r="I22" s="19" t="str">
        <f aca="false">IF($E22="","",$E22+I$5)</f>
        <v/>
      </c>
      <c r="J22" s="19" t="str">
        <f aca="false">IF($E22="","",$E22+J$5)</f>
        <v/>
      </c>
      <c r="K22" s="19" t="str">
        <f aca="false">IF($E22="","",$E22+K$5)</f>
        <v/>
      </c>
      <c r="L22" s="23" t="str">
        <f aca="false">IF($F22="","",ROUND($H$3*$F22*G$5,0))</f>
        <v/>
      </c>
      <c r="M22" s="23" t="str">
        <f aca="false">IF($F22="","",ROUND($H$3*$F22*H$5,0))</f>
        <v/>
      </c>
      <c r="N22" s="23" t="str">
        <f aca="false">IF($F22="","",ROUND($H$3*$F22*I$5,0))</f>
        <v/>
      </c>
      <c r="O22" s="23" t="str">
        <f aca="false">IF($F22="","",ROUND($H$3*$F22*J$5,0))</f>
        <v/>
      </c>
      <c r="P22" s="23" t="str">
        <f aca="false">IF($F22="","",ROUND($H$3*$F22*K$5,0))</f>
        <v/>
      </c>
      <c r="Q22" s="4"/>
      <c r="R22" s="4"/>
      <c r="S22" s="4"/>
      <c r="T22" s="4"/>
    </row>
    <row r="23" customFormat="false" ht="15" hidden="false" customHeight="false" outlineLevel="0" collapsed="false">
      <c r="A23" s="8" t="str">
        <f aca="false">'Initial char'!A23</f>
        <v>Q1</v>
      </c>
      <c r="B23" s="8" t="n">
        <f aca="false">'Initial char'!B23</f>
        <v>16</v>
      </c>
      <c r="C23" s="8" t="n">
        <f aca="false">'Initial char'!C23</f>
        <v>16</v>
      </c>
      <c r="D23" s="8" t="str">
        <f aca="false">'Initial char'!D23</f>
        <v/>
      </c>
      <c r="E23" s="27" t="str">
        <f aca="false">IF('Initial char'!O23="","",'Initial char'!O23)</f>
        <v/>
      </c>
      <c r="F23" s="28" t="str">
        <f aca="false">IF('Initial char'!N23="","",'Initial char'!N23)</f>
        <v/>
      </c>
      <c r="G23" s="19" t="str">
        <f aca="false">IF($E23="","",$E23+G$5)</f>
        <v/>
      </c>
      <c r="H23" s="19" t="str">
        <f aca="false">IF($E23="","",$E23+H$5)</f>
        <v/>
      </c>
      <c r="I23" s="19" t="str">
        <f aca="false">IF($E23="","",$E23+I$5)</f>
        <v/>
      </c>
      <c r="J23" s="19" t="str">
        <f aca="false">IF($E23="","",$E23+J$5)</f>
        <v/>
      </c>
      <c r="K23" s="19" t="str">
        <f aca="false">IF($E23="","",$E23+K$5)</f>
        <v/>
      </c>
      <c r="L23" s="23" t="str">
        <f aca="false">IF($F23="","",ROUND($H$3*$F23*G$5,0))</f>
        <v/>
      </c>
      <c r="M23" s="23" t="str">
        <f aca="false">IF($F23="","",ROUND($H$3*$F23*H$5,0))</f>
        <v/>
      </c>
      <c r="N23" s="23" t="str">
        <f aca="false">IF($F23="","",ROUND($H$3*$F23*I$5,0))</f>
        <v/>
      </c>
      <c r="O23" s="23" t="str">
        <f aca="false">IF($F23="","",ROUND($H$3*$F23*J$5,0))</f>
        <v/>
      </c>
      <c r="P23" s="23" t="str">
        <f aca="false">IF($F23="","",ROUND($H$3*$F23*K$5,0))</f>
        <v/>
      </c>
      <c r="Q23" s="4"/>
      <c r="R23" s="4"/>
      <c r="S23" s="4"/>
      <c r="T23" s="4"/>
    </row>
    <row r="24" customFormat="false" ht="15" hidden="false" customHeight="false" outlineLevel="0" collapsed="false">
      <c r="A24" s="8" t="str">
        <f aca="false">'Initial char'!A24</f>
        <v>Q1</v>
      </c>
      <c r="B24" s="8" t="n">
        <f aca="false">'Initial char'!B24</f>
        <v>23</v>
      </c>
      <c r="C24" s="8" t="n">
        <f aca="false">'Initial char'!C24</f>
        <v>23</v>
      </c>
      <c r="D24" s="8" t="str">
        <f aca="false">'Initial char'!D24</f>
        <v/>
      </c>
      <c r="E24" s="27" t="str">
        <f aca="false">IF('Initial char'!O24="","",'Initial char'!O24)</f>
        <v/>
      </c>
      <c r="F24" s="28" t="str">
        <f aca="false">IF('Initial char'!N24="","",'Initial char'!N24)</f>
        <v/>
      </c>
      <c r="G24" s="19" t="str">
        <f aca="false">IF($E24="","",$E24+G$5)</f>
        <v/>
      </c>
      <c r="H24" s="19" t="str">
        <f aca="false">IF($E24="","",$E24+H$5)</f>
        <v/>
      </c>
      <c r="I24" s="19" t="str">
        <f aca="false">IF($E24="","",$E24+I$5)</f>
        <v/>
      </c>
      <c r="J24" s="19" t="str">
        <f aca="false">IF($E24="","",$E24+J$5)</f>
        <v/>
      </c>
      <c r="K24" s="19" t="str">
        <f aca="false">IF($E24="","",$E24+K$5)</f>
        <v/>
      </c>
      <c r="L24" s="23" t="str">
        <f aca="false">IF($F24="","",ROUND($H$3*$F24*G$5,0))</f>
        <v/>
      </c>
      <c r="M24" s="23" t="str">
        <f aca="false">IF($F24="","",ROUND($H$3*$F24*H$5,0))</f>
        <v/>
      </c>
      <c r="N24" s="23" t="str">
        <f aca="false">IF($F24="","",ROUND($H$3*$F24*I$5,0))</f>
        <v/>
      </c>
      <c r="O24" s="23" t="str">
        <f aca="false">IF($F24="","",ROUND($H$3*$F24*J$5,0))</f>
        <v/>
      </c>
      <c r="P24" s="23" t="str">
        <f aca="false">IF($F24="","",ROUND($H$3*$F24*K$5,0))</f>
        <v/>
      </c>
      <c r="Q24" s="4"/>
      <c r="R24" s="4"/>
      <c r="S24" s="4"/>
      <c r="T24" s="4"/>
    </row>
    <row r="25" customFormat="false" ht="15" hidden="false" customHeight="false" outlineLevel="0" collapsed="false">
      <c r="A25" s="8" t="str">
        <f aca="false">'Initial char'!A25</f>
        <v>Q1</v>
      </c>
      <c r="B25" s="8" t="n">
        <f aca="false">'Initial char'!B25</f>
        <v>24</v>
      </c>
      <c r="C25" s="8" t="n">
        <f aca="false">'Initial char'!C25</f>
        <v>24</v>
      </c>
      <c r="D25" s="8" t="str">
        <f aca="false">'Initial char'!D25</f>
        <v/>
      </c>
      <c r="E25" s="27" t="str">
        <f aca="false">IF('Initial char'!O25="","",'Initial char'!O25)</f>
        <v/>
      </c>
      <c r="F25" s="28" t="str">
        <f aca="false">IF('Initial char'!N25="","",'Initial char'!N25)</f>
        <v/>
      </c>
      <c r="G25" s="19" t="str">
        <f aca="false">IF($E25="","",$E25+G$5)</f>
        <v/>
      </c>
      <c r="H25" s="19" t="str">
        <f aca="false">IF($E25="","",$E25+H$5)</f>
        <v/>
      </c>
      <c r="I25" s="19" t="str">
        <f aca="false">IF($E25="","",$E25+I$5)</f>
        <v/>
      </c>
      <c r="J25" s="19" t="str">
        <f aca="false">IF($E25="","",$E25+J$5)</f>
        <v/>
      </c>
      <c r="K25" s="19" t="str">
        <f aca="false">IF($E25="","",$E25+K$5)</f>
        <v/>
      </c>
      <c r="L25" s="23" t="str">
        <f aca="false">IF($F25="","",ROUND($H$3*$F25*G$5,0))</f>
        <v/>
      </c>
      <c r="M25" s="23" t="str">
        <f aca="false">IF($F25="","",ROUND($H$3*$F25*H$5,0))</f>
        <v/>
      </c>
      <c r="N25" s="23" t="str">
        <f aca="false">IF($F25="","",ROUND($H$3*$F25*I$5,0))</f>
        <v/>
      </c>
      <c r="O25" s="23" t="str">
        <f aca="false">IF($F25="","",ROUND($H$3*$F25*J$5,0))</f>
        <v/>
      </c>
      <c r="P25" s="23" t="str">
        <f aca="false">IF($F25="","",ROUND($H$3*$F25*K$5,0))</f>
        <v/>
      </c>
      <c r="Q25" s="4"/>
      <c r="R25" s="4"/>
      <c r="S25" s="4"/>
      <c r="T25" s="4"/>
    </row>
    <row r="26" customFormat="false" ht="15" hidden="false" customHeight="false" outlineLevel="0" collapsed="false">
      <c r="A26" s="8" t="str">
        <f aca="false">'Initial char'!A26</f>
        <v>Q1</v>
      </c>
      <c r="B26" s="8" t="n">
        <f aca="false">'Initial char'!B26</f>
        <v>25</v>
      </c>
      <c r="C26" s="8" t="n">
        <f aca="false">'Initial char'!C26</f>
        <v>25</v>
      </c>
      <c r="D26" s="8" t="str">
        <f aca="false">'Initial char'!D26</f>
        <v/>
      </c>
      <c r="E26" s="27" t="str">
        <f aca="false">IF('Initial char'!O26="","",'Initial char'!O26)</f>
        <v/>
      </c>
      <c r="F26" s="28" t="str">
        <f aca="false">IF('Initial char'!N26="","",'Initial char'!N26)</f>
        <v/>
      </c>
      <c r="G26" s="19" t="str">
        <f aca="false">IF($E26="","",$E26+G$5)</f>
        <v/>
      </c>
      <c r="H26" s="19" t="str">
        <f aca="false">IF($E26="","",$E26+H$5)</f>
        <v/>
      </c>
      <c r="I26" s="19" t="str">
        <f aca="false">IF($E26="","",$E26+I$5)</f>
        <v/>
      </c>
      <c r="J26" s="19" t="str">
        <f aca="false">IF($E26="","",$E26+J$5)</f>
        <v/>
      </c>
      <c r="K26" s="19" t="str">
        <f aca="false">IF($E26="","",$E26+K$5)</f>
        <v/>
      </c>
      <c r="L26" s="23" t="str">
        <f aca="false">IF($F26="","",ROUND($H$3*$F26*G$5,0))</f>
        <v/>
      </c>
      <c r="M26" s="23" t="str">
        <f aca="false">IF($F26="","",ROUND($H$3*$F26*H$5,0))</f>
        <v/>
      </c>
      <c r="N26" s="23" t="str">
        <f aca="false">IF($F26="","",ROUND($H$3*$F26*I$5,0))</f>
        <v/>
      </c>
      <c r="O26" s="23" t="str">
        <f aca="false">IF($F26="","",ROUND($H$3*$F26*J$5,0))</f>
        <v/>
      </c>
      <c r="P26" s="23" t="str">
        <f aca="false">IF($F26="","",ROUND($H$3*$F26*K$5,0))</f>
        <v/>
      </c>
      <c r="Q26" s="4"/>
      <c r="R26" s="4"/>
      <c r="S26" s="4"/>
      <c r="T26" s="4"/>
    </row>
    <row r="27" customFormat="false" ht="15" hidden="false" customHeight="false" outlineLevel="0" collapsed="false">
      <c r="A27" s="8" t="str">
        <f aca="false">'Initial char'!A27</f>
        <v>Q1</v>
      </c>
      <c r="B27" s="8" t="n">
        <f aca="false">'Initial char'!B27</f>
        <v>26</v>
      </c>
      <c r="C27" s="8" t="n">
        <f aca="false">'Initial char'!C27</f>
        <v>26</v>
      </c>
      <c r="D27" s="8" t="str">
        <f aca="false">'Initial char'!D27</f>
        <v/>
      </c>
      <c r="E27" s="27" t="str">
        <f aca="false">IF('Initial char'!O27="","",'Initial char'!O27)</f>
        <v/>
      </c>
      <c r="F27" s="28" t="str">
        <f aca="false">IF('Initial char'!N27="","",'Initial char'!N27)</f>
        <v/>
      </c>
      <c r="G27" s="19" t="str">
        <f aca="false">IF($E27="","",$E27+G$5)</f>
        <v/>
      </c>
      <c r="H27" s="19" t="str">
        <f aca="false">IF($E27="","",$E27+H$5)</f>
        <v/>
      </c>
      <c r="I27" s="19" t="str">
        <f aca="false">IF($E27="","",$E27+I$5)</f>
        <v/>
      </c>
      <c r="J27" s="19" t="str">
        <f aca="false">IF($E27="","",$E27+J$5)</f>
        <v/>
      </c>
      <c r="K27" s="19" t="str">
        <f aca="false">IF($E27="","",$E27+K$5)</f>
        <v/>
      </c>
      <c r="L27" s="23" t="str">
        <f aca="false">IF($F27="","",ROUND($H$3*$F27*G$5,0))</f>
        <v/>
      </c>
      <c r="M27" s="23" t="str">
        <f aca="false">IF($F27="","",ROUND($H$3*$F27*H$5,0))</f>
        <v/>
      </c>
      <c r="N27" s="23" t="str">
        <f aca="false">IF($F27="","",ROUND($H$3*$F27*I$5,0))</f>
        <v/>
      </c>
      <c r="O27" s="23" t="str">
        <f aca="false">IF($F27="","",ROUND($H$3*$F27*J$5,0))</f>
        <v/>
      </c>
      <c r="P27" s="23" t="str">
        <f aca="false">IF($F27="","",ROUND($H$3*$F27*K$5,0))</f>
        <v/>
      </c>
      <c r="Q27" s="4"/>
      <c r="R27" s="4"/>
      <c r="S27" s="4"/>
      <c r="T27" s="4"/>
    </row>
    <row r="28" customFormat="false" ht="15" hidden="false" customHeight="false" outlineLevel="0" collapsed="false">
      <c r="A28" s="8" t="str">
        <f aca="false">'Initial char'!A28</f>
        <v>Q1</v>
      </c>
      <c r="B28" s="8" t="n">
        <f aca="false">'Initial char'!B28</f>
        <v>27</v>
      </c>
      <c r="C28" s="8" t="n">
        <f aca="false">'Initial char'!C28</f>
        <v>27</v>
      </c>
      <c r="D28" s="8" t="str">
        <f aca="false">'Initial char'!D28</f>
        <v/>
      </c>
      <c r="E28" s="27" t="str">
        <f aca="false">IF('Initial char'!O28="","",'Initial char'!O28)</f>
        <v/>
      </c>
      <c r="F28" s="28" t="str">
        <f aca="false">IF('Initial char'!N28="","",'Initial char'!N28)</f>
        <v/>
      </c>
      <c r="G28" s="19" t="str">
        <f aca="false">IF($E28="","",$E28+G$5)</f>
        <v/>
      </c>
      <c r="H28" s="19" t="str">
        <f aca="false">IF($E28="","",$E28+H$5)</f>
        <v/>
      </c>
      <c r="I28" s="19" t="str">
        <f aca="false">IF($E28="","",$E28+I$5)</f>
        <v/>
      </c>
      <c r="J28" s="19" t="str">
        <f aca="false">IF($E28="","",$E28+J$5)</f>
        <v/>
      </c>
      <c r="K28" s="19" t="str">
        <f aca="false">IF($E28="","",$E28+K$5)</f>
        <v/>
      </c>
      <c r="L28" s="23" t="str">
        <f aca="false">IF($F28="","",ROUND($H$3*$F28*G$5,0))</f>
        <v/>
      </c>
      <c r="M28" s="23" t="str">
        <f aca="false">IF($F28="","",ROUND($H$3*$F28*H$5,0))</f>
        <v/>
      </c>
      <c r="N28" s="23" t="str">
        <f aca="false">IF($F28="","",ROUND($H$3*$F28*I$5,0))</f>
        <v/>
      </c>
      <c r="O28" s="23" t="str">
        <f aca="false">IF($F28="","",ROUND($H$3*$F28*J$5,0))</f>
        <v/>
      </c>
      <c r="P28" s="23" t="str">
        <f aca="false">IF($F28="","",ROUND($H$3*$F28*K$5,0))</f>
        <v/>
      </c>
      <c r="Q28" s="4"/>
      <c r="R28" s="4"/>
      <c r="S28" s="4"/>
      <c r="T28" s="4"/>
    </row>
    <row r="29" customFormat="false" ht="15" hidden="false" customHeight="false" outlineLevel="0" collapsed="false">
      <c r="A29" s="8" t="str">
        <f aca="false">'Initial char'!A29</f>
        <v>Q1</v>
      </c>
      <c r="B29" s="8" t="n">
        <f aca="false">'Initial char'!B29</f>
        <v>28</v>
      </c>
      <c r="C29" s="8" t="n">
        <f aca="false">'Initial char'!C29</f>
        <v>28</v>
      </c>
      <c r="D29" s="8" t="str">
        <f aca="false">'Initial char'!D29</f>
        <v/>
      </c>
      <c r="E29" s="27" t="str">
        <f aca="false">IF('Initial char'!O29="","",'Initial char'!O29)</f>
        <v/>
      </c>
      <c r="F29" s="28" t="str">
        <f aca="false">IF('Initial char'!N29="","",'Initial char'!N29)</f>
        <v/>
      </c>
      <c r="G29" s="19" t="str">
        <f aca="false">IF($E29="","",$E29+G$5)</f>
        <v/>
      </c>
      <c r="H29" s="19" t="str">
        <f aca="false">IF($E29="","",$E29+H$5)</f>
        <v/>
      </c>
      <c r="I29" s="19" t="str">
        <f aca="false">IF($E29="","",$E29+I$5)</f>
        <v/>
      </c>
      <c r="J29" s="19" t="str">
        <f aca="false">IF($E29="","",$E29+J$5)</f>
        <v/>
      </c>
      <c r="K29" s="19" t="str">
        <f aca="false">IF($E29="","",$E29+K$5)</f>
        <v/>
      </c>
      <c r="L29" s="23" t="str">
        <f aca="false">IF($F29="","",ROUND($H$3*$F29*G$5,0))</f>
        <v/>
      </c>
      <c r="M29" s="23" t="str">
        <f aca="false">IF($F29="","",ROUND($H$3*$F29*H$5,0))</f>
        <v/>
      </c>
      <c r="N29" s="23" t="str">
        <f aca="false">IF($F29="","",ROUND($H$3*$F29*I$5,0))</f>
        <v/>
      </c>
      <c r="O29" s="23" t="str">
        <f aca="false">IF($F29="","",ROUND($H$3*$F29*J$5,0))</f>
        <v/>
      </c>
      <c r="P29" s="23" t="str">
        <f aca="false">IF($F29="","",ROUND($H$3*$F29*K$5,0))</f>
        <v/>
      </c>
      <c r="Q29" s="4"/>
      <c r="R29" s="4"/>
      <c r="S29" s="4"/>
      <c r="T29" s="4"/>
    </row>
    <row r="30" customFormat="false" ht="15" hidden="false" customHeight="false" outlineLevel="0" collapsed="false">
      <c r="A30" s="8" t="str">
        <f aca="false">'Initial char'!A30</f>
        <v>Q1</v>
      </c>
      <c r="B30" s="8" t="n">
        <f aca="false">'Initial char'!B30</f>
        <v>29</v>
      </c>
      <c r="C30" s="8" t="n">
        <f aca="false">'Initial char'!C30</f>
        <v>29</v>
      </c>
      <c r="D30" s="8" t="str">
        <f aca="false">'Initial char'!D30</f>
        <v/>
      </c>
      <c r="E30" s="27" t="str">
        <f aca="false">IF('Initial char'!O30="","",'Initial char'!O30)</f>
        <v/>
      </c>
      <c r="F30" s="28" t="str">
        <f aca="false">IF('Initial char'!N30="","",'Initial char'!N30)</f>
        <v/>
      </c>
      <c r="G30" s="19" t="str">
        <f aca="false">IF($E30="","",$E30+G$5)</f>
        <v/>
      </c>
      <c r="H30" s="19" t="str">
        <f aca="false">IF($E30="","",$E30+H$5)</f>
        <v/>
      </c>
      <c r="I30" s="19" t="str">
        <f aca="false">IF($E30="","",$E30+I$5)</f>
        <v/>
      </c>
      <c r="J30" s="19" t="str">
        <f aca="false">IF($E30="","",$E30+J$5)</f>
        <v/>
      </c>
      <c r="K30" s="19" t="str">
        <f aca="false">IF($E30="","",$E30+K$5)</f>
        <v/>
      </c>
      <c r="L30" s="23" t="str">
        <f aca="false">IF($F30="","",ROUND($H$3*$F30*G$5,0))</f>
        <v/>
      </c>
      <c r="M30" s="23" t="str">
        <f aca="false">IF($F30="","",ROUND($H$3*$F30*H$5,0))</f>
        <v/>
      </c>
      <c r="N30" s="23" t="str">
        <f aca="false">IF($F30="","",ROUND($H$3*$F30*I$5,0))</f>
        <v/>
      </c>
      <c r="O30" s="23" t="str">
        <f aca="false">IF($F30="","",ROUND($H$3*$F30*J$5,0))</f>
        <v/>
      </c>
      <c r="P30" s="23" t="str">
        <f aca="false">IF($F30="","",ROUND($H$3*$F30*K$5,0))</f>
        <v/>
      </c>
      <c r="Q30" s="4"/>
      <c r="R30" s="4"/>
      <c r="S30" s="4"/>
      <c r="T30" s="4"/>
    </row>
    <row r="31" customFormat="false" ht="15" hidden="false" customHeight="false" outlineLevel="0" collapsed="false">
      <c r="A31" s="8" t="str">
        <f aca="false">'Initial char'!A31</f>
        <v>Q1</v>
      </c>
      <c r="B31" s="8" t="n">
        <f aca="false">'Initial char'!B31</f>
        <v>30</v>
      </c>
      <c r="C31" s="8" t="n">
        <f aca="false">'Initial char'!C31</f>
        <v>30</v>
      </c>
      <c r="D31" s="8" t="str">
        <f aca="false">'Initial char'!D31</f>
        <v/>
      </c>
      <c r="E31" s="27" t="str">
        <f aca="false">IF('Initial char'!O31="","",'Initial char'!O31)</f>
        <v/>
      </c>
      <c r="F31" s="28" t="str">
        <f aca="false">IF('Initial char'!N31="","",'Initial char'!N31)</f>
        <v/>
      </c>
      <c r="G31" s="19" t="str">
        <f aca="false">IF($E31="","",$E31+G$5)</f>
        <v/>
      </c>
      <c r="H31" s="19" t="str">
        <f aca="false">IF($E31="","",$E31+H$5)</f>
        <v/>
      </c>
      <c r="I31" s="19" t="str">
        <f aca="false">IF($E31="","",$E31+I$5)</f>
        <v/>
      </c>
      <c r="J31" s="19" t="str">
        <f aca="false">IF($E31="","",$E31+J$5)</f>
        <v/>
      </c>
      <c r="K31" s="19" t="str">
        <f aca="false">IF($E31="","",$E31+K$5)</f>
        <v/>
      </c>
      <c r="L31" s="23" t="str">
        <f aca="false">IF($F31="","",ROUND($H$3*$F31*G$5,0))</f>
        <v/>
      </c>
      <c r="M31" s="23" t="str">
        <f aca="false">IF($F31="","",ROUND($H$3*$F31*H$5,0))</f>
        <v/>
      </c>
      <c r="N31" s="23" t="str">
        <f aca="false">IF($F31="","",ROUND($H$3*$F31*I$5,0))</f>
        <v/>
      </c>
      <c r="O31" s="23" t="str">
        <f aca="false">IF($F31="","",ROUND($H$3*$F31*J$5,0))</f>
        <v/>
      </c>
      <c r="P31" s="23" t="str">
        <f aca="false">IF($F31="","",ROUND($H$3*$F31*K$5,0))</f>
        <v/>
      </c>
      <c r="Q31" s="4"/>
      <c r="R31" s="4"/>
      <c r="S31" s="4"/>
      <c r="T31" s="4"/>
    </row>
    <row r="32" customFormat="false" ht="15" hidden="false" customHeight="false" outlineLevel="0" collapsed="false">
      <c r="A32" s="8" t="str">
        <f aca="false">'Initial char'!A32</f>
        <v>Q2</v>
      </c>
      <c r="B32" s="8" t="n">
        <f aca="false">'Initial char'!B32</f>
        <v>1</v>
      </c>
      <c r="C32" s="8" t="n">
        <f aca="false">'Initial char'!C32</f>
        <v>1</v>
      </c>
      <c r="D32" s="8" t="str">
        <f aca="false">'Initial char'!D32</f>
        <v/>
      </c>
      <c r="E32" s="27" t="str">
        <f aca="false">IF('Initial char'!O32="","",'Initial char'!O32)</f>
        <v/>
      </c>
      <c r="F32" s="28" t="str">
        <f aca="false">IF('Initial char'!N32="","",'Initial char'!N32)</f>
        <v/>
      </c>
      <c r="G32" s="19" t="str">
        <f aca="false">IF($E32="","",$E32+G$5)</f>
        <v/>
      </c>
      <c r="H32" s="19" t="str">
        <f aca="false">IF($E32="","",$E32+H$5)</f>
        <v/>
      </c>
      <c r="I32" s="19" t="str">
        <f aca="false">IF($E32="","",$E32+I$5)</f>
        <v/>
      </c>
      <c r="J32" s="19" t="str">
        <f aca="false">IF($E32="","",$E32+J$5)</f>
        <v/>
      </c>
      <c r="K32" s="19" t="str">
        <f aca="false">IF($E32="","",$E32+K$5)</f>
        <v/>
      </c>
      <c r="L32" s="23" t="str">
        <f aca="false">IF($F32="","",ROUND($H$3*$F32*G$5,0))</f>
        <v/>
      </c>
      <c r="M32" s="23" t="str">
        <f aca="false">IF($F32="","",ROUND($H$3*$F32*H$5,0))</f>
        <v/>
      </c>
      <c r="N32" s="23" t="str">
        <f aca="false">IF($F32="","",ROUND($H$3*$F32*I$5,0))</f>
        <v/>
      </c>
      <c r="O32" s="23" t="str">
        <f aca="false">IF($F32="","",ROUND($H$3*$F32*J$5,0))</f>
        <v/>
      </c>
      <c r="P32" s="23" t="str">
        <f aca="false">IF($F32="","",ROUND($H$3*$F32*K$5,0))</f>
        <v/>
      </c>
      <c r="Q32" s="4"/>
      <c r="R32" s="4"/>
      <c r="S32" s="4"/>
      <c r="T32" s="4"/>
    </row>
    <row r="33" customFormat="false" ht="15" hidden="false" customHeight="false" outlineLevel="0" collapsed="false">
      <c r="A33" s="8" t="str">
        <f aca="false">'Initial char'!A33</f>
        <v>Q2</v>
      </c>
      <c r="B33" s="8" t="n">
        <f aca="false">'Initial char'!B33</f>
        <v>2</v>
      </c>
      <c r="C33" s="8" t="n">
        <f aca="false">'Initial char'!C33</f>
        <v>2</v>
      </c>
      <c r="D33" s="8" t="str">
        <f aca="false">'Initial char'!D33</f>
        <v/>
      </c>
      <c r="E33" s="27" t="str">
        <f aca="false">IF('Initial char'!O33="","",'Initial char'!O33)</f>
        <v/>
      </c>
      <c r="F33" s="28" t="str">
        <f aca="false">IF('Initial char'!N33="","",'Initial char'!N33)</f>
        <v/>
      </c>
      <c r="G33" s="19" t="str">
        <f aca="false">IF($E33="","",$E33+G$5)</f>
        <v/>
      </c>
      <c r="H33" s="19" t="str">
        <f aca="false">IF($E33="","",$E33+H$5)</f>
        <v/>
      </c>
      <c r="I33" s="19" t="str">
        <f aca="false">IF($E33="","",$E33+I$5)</f>
        <v/>
      </c>
      <c r="J33" s="19" t="str">
        <f aca="false">IF($E33="","",$E33+J$5)</f>
        <v/>
      </c>
      <c r="K33" s="19" t="str">
        <f aca="false">IF($E33="","",$E33+K$5)</f>
        <v/>
      </c>
      <c r="L33" s="23" t="str">
        <f aca="false">IF($F33="","",ROUND($H$3*$F33*G$5,0))</f>
        <v/>
      </c>
      <c r="M33" s="23" t="str">
        <f aca="false">IF($F33="","",ROUND($H$3*$F33*H$5,0))</f>
        <v/>
      </c>
      <c r="N33" s="23" t="str">
        <f aca="false">IF($F33="","",ROUND($H$3*$F33*I$5,0))</f>
        <v/>
      </c>
      <c r="O33" s="23" t="str">
        <f aca="false">IF($F33="","",ROUND($H$3*$F33*J$5,0))</f>
        <v/>
      </c>
      <c r="P33" s="23" t="str">
        <f aca="false">IF($F33="","",ROUND($H$3*$F33*K$5,0))</f>
        <v/>
      </c>
      <c r="Q33" s="4"/>
      <c r="R33" s="4"/>
      <c r="S33" s="4"/>
      <c r="T33" s="4"/>
    </row>
    <row r="34" customFormat="false" ht="15" hidden="false" customHeight="false" outlineLevel="0" collapsed="false">
      <c r="A34" s="8" t="str">
        <f aca="false">'Initial char'!A34</f>
        <v>Q2</v>
      </c>
      <c r="B34" s="8" t="n">
        <f aca="false">'Initial char'!B34</f>
        <v>3</v>
      </c>
      <c r="C34" s="8" t="n">
        <f aca="false">'Initial char'!C34</f>
        <v>3</v>
      </c>
      <c r="D34" s="8" t="str">
        <f aca="false">'Initial char'!D34</f>
        <v/>
      </c>
      <c r="E34" s="27" t="str">
        <f aca="false">IF('Initial char'!O34="","",'Initial char'!O34)</f>
        <v/>
      </c>
      <c r="F34" s="28" t="str">
        <f aca="false">IF('Initial char'!N34="","",'Initial char'!N34)</f>
        <v/>
      </c>
      <c r="G34" s="19" t="str">
        <f aca="false">IF($E34="","",$E34+G$5)</f>
        <v/>
      </c>
      <c r="H34" s="19" t="str">
        <f aca="false">IF($E34="","",$E34+H$5)</f>
        <v/>
      </c>
      <c r="I34" s="19" t="str">
        <f aca="false">IF($E34="","",$E34+I$5)</f>
        <v/>
      </c>
      <c r="J34" s="19" t="str">
        <f aca="false">IF($E34="","",$E34+J$5)</f>
        <v/>
      </c>
      <c r="K34" s="19" t="str">
        <f aca="false">IF($E34="","",$E34+K$5)</f>
        <v/>
      </c>
      <c r="L34" s="23" t="str">
        <f aca="false">IF($F34="","",ROUND($H$3*$F34*G$5,0))</f>
        <v/>
      </c>
      <c r="M34" s="23" t="str">
        <f aca="false">IF($F34="","",ROUND($H$3*$F34*H$5,0))</f>
        <v/>
      </c>
      <c r="N34" s="23" t="str">
        <f aca="false">IF($F34="","",ROUND($H$3*$F34*I$5,0))</f>
        <v/>
      </c>
      <c r="O34" s="23" t="str">
        <f aca="false">IF($F34="","",ROUND($H$3*$F34*J$5,0))</f>
        <v/>
      </c>
      <c r="P34" s="23" t="str">
        <f aca="false">IF($F34="","",ROUND($H$3*$F34*K$5,0))</f>
        <v/>
      </c>
      <c r="Q34" s="4"/>
      <c r="R34" s="4"/>
      <c r="S34" s="4"/>
      <c r="T34" s="4"/>
    </row>
    <row r="35" customFormat="false" ht="15" hidden="false" customHeight="false" outlineLevel="0" collapsed="false">
      <c r="A35" s="8" t="str">
        <f aca="false">'Initial char'!A35</f>
        <v>Q2</v>
      </c>
      <c r="B35" s="8" t="n">
        <f aca="false">'Initial char'!B35</f>
        <v>4</v>
      </c>
      <c r="C35" s="8" t="n">
        <f aca="false">'Initial char'!C35</f>
        <v>4</v>
      </c>
      <c r="D35" s="8" t="str">
        <f aca="false">'Initial char'!D35</f>
        <v/>
      </c>
      <c r="E35" s="27" t="str">
        <f aca="false">IF('Initial char'!O35="","",'Initial char'!O35)</f>
        <v/>
      </c>
      <c r="F35" s="28" t="str">
        <f aca="false">IF('Initial char'!N35="","",'Initial char'!N35)</f>
        <v/>
      </c>
      <c r="G35" s="19" t="str">
        <f aca="false">IF($E35="","",$E35+G$5)</f>
        <v/>
      </c>
      <c r="H35" s="19" t="str">
        <f aca="false">IF($E35="","",$E35+H$5)</f>
        <v/>
      </c>
      <c r="I35" s="19" t="str">
        <f aca="false">IF($E35="","",$E35+I$5)</f>
        <v/>
      </c>
      <c r="J35" s="19" t="str">
        <f aca="false">IF($E35="","",$E35+J$5)</f>
        <v/>
      </c>
      <c r="K35" s="19" t="str">
        <f aca="false">IF($E35="","",$E35+K$5)</f>
        <v/>
      </c>
      <c r="L35" s="23" t="str">
        <f aca="false">IF($F35="","",ROUND($H$3*$F35*G$5,0))</f>
        <v/>
      </c>
      <c r="M35" s="23" t="str">
        <f aca="false">IF($F35="","",ROUND($H$3*$F35*H$5,0))</f>
        <v/>
      </c>
      <c r="N35" s="23" t="str">
        <f aca="false">IF($F35="","",ROUND($H$3*$F35*I$5,0))</f>
        <v/>
      </c>
      <c r="O35" s="23" t="str">
        <f aca="false">IF($F35="","",ROUND($H$3*$F35*J$5,0))</f>
        <v/>
      </c>
      <c r="P35" s="23" t="str">
        <f aca="false">IF($F35="","",ROUND($H$3*$F35*K$5,0))</f>
        <v/>
      </c>
      <c r="Q35" s="4"/>
      <c r="R35" s="4"/>
      <c r="S35" s="4"/>
      <c r="T35" s="4"/>
    </row>
    <row r="36" customFormat="false" ht="15" hidden="false" customHeight="false" outlineLevel="0" collapsed="false">
      <c r="A36" s="8" t="str">
        <f aca="false">'Initial char'!A36</f>
        <v>Q2</v>
      </c>
      <c r="B36" s="8" t="n">
        <f aca="false">'Initial char'!B36</f>
        <v>5</v>
      </c>
      <c r="C36" s="8" t="n">
        <f aca="false">'Initial char'!C36</f>
        <v>5</v>
      </c>
      <c r="D36" s="8" t="str">
        <f aca="false">'Initial char'!D36</f>
        <v/>
      </c>
      <c r="E36" s="27" t="str">
        <f aca="false">IF('Initial char'!O36="","",'Initial char'!O36)</f>
        <v/>
      </c>
      <c r="F36" s="28" t="str">
        <f aca="false">IF('Initial char'!N36="","",'Initial char'!N36)</f>
        <v/>
      </c>
      <c r="G36" s="19" t="str">
        <f aca="false">IF($E36="","",$E36+G$5)</f>
        <v/>
      </c>
      <c r="H36" s="19" t="str">
        <f aca="false">IF($E36="","",$E36+H$5)</f>
        <v/>
      </c>
      <c r="I36" s="19" t="str">
        <f aca="false">IF($E36="","",$E36+I$5)</f>
        <v/>
      </c>
      <c r="J36" s="19" t="str">
        <f aca="false">IF($E36="","",$E36+J$5)</f>
        <v/>
      </c>
      <c r="K36" s="19" t="str">
        <f aca="false">IF($E36="","",$E36+K$5)</f>
        <v/>
      </c>
      <c r="L36" s="23" t="str">
        <f aca="false">IF($F36="","",ROUND($H$3*$F36*G$5,0))</f>
        <v/>
      </c>
      <c r="M36" s="23" t="str">
        <f aca="false">IF($F36="","",ROUND($H$3*$F36*H$5,0))</f>
        <v/>
      </c>
      <c r="N36" s="23" t="str">
        <f aca="false">IF($F36="","",ROUND($H$3*$F36*I$5,0))</f>
        <v/>
      </c>
      <c r="O36" s="23" t="str">
        <f aca="false">IF($F36="","",ROUND($H$3*$F36*J$5,0))</f>
        <v/>
      </c>
      <c r="P36" s="23" t="str">
        <f aca="false">IF($F36="","",ROUND($H$3*$F36*K$5,0))</f>
        <v/>
      </c>
      <c r="Q36" s="4"/>
      <c r="R36" s="4"/>
      <c r="S36" s="4"/>
      <c r="T36" s="4"/>
    </row>
    <row r="37" customFormat="false" ht="15" hidden="false" customHeight="false" outlineLevel="0" collapsed="false">
      <c r="A37" s="8" t="str">
        <f aca="false">'Initial char'!A37</f>
        <v>Q2</v>
      </c>
      <c r="B37" s="8" t="n">
        <f aca="false">'Initial char'!B37</f>
        <v>6</v>
      </c>
      <c r="C37" s="8" t="n">
        <f aca="false">'Initial char'!C37</f>
        <v>6</v>
      </c>
      <c r="D37" s="8" t="str">
        <f aca="false">'Initial char'!D37</f>
        <v/>
      </c>
      <c r="E37" s="27" t="str">
        <f aca="false">IF('Initial char'!O37="","",'Initial char'!O37)</f>
        <v/>
      </c>
      <c r="F37" s="28" t="str">
        <f aca="false">IF('Initial char'!N37="","",'Initial char'!N37)</f>
        <v/>
      </c>
      <c r="G37" s="19" t="str">
        <f aca="false">IF($E37="","",$E37+G$5)</f>
        <v/>
      </c>
      <c r="H37" s="19" t="str">
        <f aca="false">IF($E37="","",$E37+H$5)</f>
        <v/>
      </c>
      <c r="I37" s="19" t="str">
        <f aca="false">IF($E37="","",$E37+I$5)</f>
        <v/>
      </c>
      <c r="J37" s="19" t="str">
        <f aca="false">IF($E37="","",$E37+J$5)</f>
        <v/>
      </c>
      <c r="K37" s="19" t="str">
        <f aca="false">IF($E37="","",$E37+K$5)</f>
        <v/>
      </c>
      <c r="L37" s="23" t="str">
        <f aca="false">IF($F37="","",ROUND($H$3*$F37*G$5,0))</f>
        <v/>
      </c>
      <c r="M37" s="23" t="str">
        <f aca="false">IF($F37="","",ROUND($H$3*$F37*H$5,0))</f>
        <v/>
      </c>
      <c r="N37" s="23" t="str">
        <f aca="false">IF($F37="","",ROUND($H$3*$F37*I$5,0))</f>
        <v/>
      </c>
      <c r="O37" s="23" t="str">
        <f aca="false">IF($F37="","",ROUND($H$3*$F37*J$5,0))</f>
        <v/>
      </c>
      <c r="P37" s="23" t="str">
        <f aca="false">IF($F37="","",ROUND($H$3*$F37*K$5,0))</f>
        <v/>
      </c>
      <c r="Q37" s="4"/>
      <c r="R37" s="4"/>
      <c r="S37" s="4"/>
      <c r="T37" s="4"/>
    </row>
    <row r="38" customFormat="false" ht="15" hidden="false" customHeight="false" outlineLevel="0" collapsed="false">
      <c r="A38" s="8" t="str">
        <f aca="false">'Initial char'!A38</f>
        <v>Q2</v>
      </c>
      <c r="B38" s="8" t="n">
        <f aca="false">'Initial char'!B38</f>
        <v>7</v>
      </c>
      <c r="C38" s="8" t="n">
        <f aca="false">'Initial char'!C38</f>
        <v>7</v>
      </c>
      <c r="D38" s="8" t="str">
        <f aca="false">'Initial char'!D38</f>
        <v/>
      </c>
      <c r="E38" s="27" t="str">
        <f aca="false">IF('Initial char'!O38="","",'Initial char'!O38)</f>
        <v/>
      </c>
      <c r="F38" s="28" t="str">
        <f aca="false">IF('Initial char'!N38="","",'Initial char'!N38)</f>
        <v/>
      </c>
      <c r="G38" s="19" t="str">
        <f aca="false">IF($E38="","",$E38+G$5)</f>
        <v/>
      </c>
      <c r="H38" s="19" t="str">
        <f aca="false">IF($E38="","",$E38+H$5)</f>
        <v/>
      </c>
      <c r="I38" s="19" t="str">
        <f aca="false">IF($E38="","",$E38+I$5)</f>
        <v/>
      </c>
      <c r="J38" s="19" t="str">
        <f aca="false">IF($E38="","",$E38+J$5)</f>
        <v/>
      </c>
      <c r="K38" s="19" t="str">
        <f aca="false">IF($E38="","",$E38+K$5)</f>
        <v/>
      </c>
      <c r="L38" s="23" t="str">
        <f aca="false">IF($F38="","",ROUND($H$3*$F38*G$5,0))</f>
        <v/>
      </c>
      <c r="M38" s="23" t="str">
        <f aca="false">IF($F38="","",ROUND($H$3*$F38*H$5,0))</f>
        <v/>
      </c>
      <c r="N38" s="23" t="str">
        <f aca="false">IF($F38="","",ROUND($H$3*$F38*I$5,0))</f>
        <v/>
      </c>
      <c r="O38" s="23" t="str">
        <f aca="false">IF($F38="","",ROUND($H$3*$F38*J$5,0))</f>
        <v/>
      </c>
      <c r="P38" s="23" t="str">
        <f aca="false">IF($F38="","",ROUND($H$3*$F38*K$5,0))</f>
        <v/>
      </c>
      <c r="Q38" s="4"/>
      <c r="R38" s="4"/>
      <c r="S38" s="4"/>
      <c r="T38" s="4"/>
    </row>
    <row r="39" customFormat="false" ht="15" hidden="false" customHeight="false" outlineLevel="0" collapsed="false">
      <c r="A39" s="8" t="str">
        <f aca="false">'Initial char'!A39</f>
        <v>Q2</v>
      </c>
      <c r="B39" s="8" t="n">
        <f aca="false">'Initial char'!B39</f>
        <v>8</v>
      </c>
      <c r="C39" s="8" t="n">
        <f aca="false">'Initial char'!C39</f>
        <v>8</v>
      </c>
      <c r="D39" s="8" t="str">
        <f aca="false">'Initial char'!D39</f>
        <v/>
      </c>
      <c r="E39" s="27" t="str">
        <f aca="false">IF('Initial char'!O39="","",'Initial char'!O39)</f>
        <v/>
      </c>
      <c r="F39" s="28" t="str">
        <f aca="false">IF('Initial char'!N39="","",'Initial char'!N39)</f>
        <v/>
      </c>
      <c r="G39" s="19" t="str">
        <f aca="false">IF($E39="","",$E39+G$5)</f>
        <v/>
      </c>
      <c r="H39" s="19" t="str">
        <f aca="false">IF($E39="","",$E39+H$5)</f>
        <v/>
      </c>
      <c r="I39" s="19" t="str">
        <f aca="false">IF($E39="","",$E39+I$5)</f>
        <v/>
      </c>
      <c r="J39" s="19" t="str">
        <f aca="false">IF($E39="","",$E39+J$5)</f>
        <v/>
      </c>
      <c r="K39" s="19" t="str">
        <f aca="false">IF($E39="","",$E39+K$5)</f>
        <v/>
      </c>
      <c r="L39" s="23" t="str">
        <f aca="false">IF($F39="","",ROUND($H$3*$F39*G$5,0))</f>
        <v/>
      </c>
      <c r="M39" s="23" t="str">
        <f aca="false">IF($F39="","",ROUND($H$3*$F39*H$5,0))</f>
        <v/>
      </c>
      <c r="N39" s="23" t="str">
        <f aca="false">IF($F39="","",ROUND($H$3*$F39*I$5,0))</f>
        <v/>
      </c>
      <c r="O39" s="23" t="str">
        <f aca="false">IF($F39="","",ROUND($H$3*$F39*J$5,0))</f>
        <v/>
      </c>
      <c r="P39" s="23" t="str">
        <f aca="false">IF($F39="","",ROUND($H$3*$F39*K$5,0))</f>
        <v/>
      </c>
      <c r="Q39" s="4"/>
      <c r="R39" s="4"/>
      <c r="S39" s="4"/>
      <c r="T39" s="4"/>
    </row>
    <row r="40" customFormat="false" ht="15" hidden="false" customHeight="false" outlineLevel="0" collapsed="false">
      <c r="A40" s="8" t="str">
        <f aca="false">'Initial char'!A40</f>
        <v>Q2</v>
      </c>
      <c r="B40" s="8" t="n">
        <f aca="false">'Initial char'!B40</f>
        <v>9</v>
      </c>
      <c r="C40" s="8" t="n">
        <f aca="false">'Initial char'!C40</f>
        <v>9</v>
      </c>
      <c r="D40" s="8" t="str">
        <f aca="false">'Initial char'!D40</f>
        <v/>
      </c>
      <c r="E40" s="27" t="str">
        <f aca="false">IF('Initial char'!O40="","",'Initial char'!O40)</f>
        <v/>
      </c>
      <c r="F40" s="28" t="str">
        <f aca="false">IF('Initial char'!N40="","",'Initial char'!N40)</f>
        <v/>
      </c>
      <c r="G40" s="19" t="str">
        <f aca="false">IF($E40="","",$E40+G$5)</f>
        <v/>
      </c>
      <c r="H40" s="19" t="str">
        <f aca="false">IF($E40="","",$E40+H$5)</f>
        <v/>
      </c>
      <c r="I40" s="19" t="str">
        <f aca="false">IF($E40="","",$E40+I$5)</f>
        <v/>
      </c>
      <c r="J40" s="19" t="str">
        <f aca="false">IF($E40="","",$E40+J$5)</f>
        <v/>
      </c>
      <c r="K40" s="19" t="str">
        <f aca="false">IF($E40="","",$E40+K$5)</f>
        <v/>
      </c>
      <c r="L40" s="23" t="str">
        <f aca="false">IF($F40="","",ROUND($H$3*$F40*G$5,0))</f>
        <v/>
      </c>
      <c r="M40" s="23" t="str">
        <f aca="false">IF($F40="","",ROUND($H$3*$F40*H$5,0))</f>
        <v/>
      </c>
      <c r="N40" s="23" t="str">
        <f aca="false">IF($F40="","",ROUND($H$3*$F40*I$5,0))</f>
        <v/>
      </c>
      <c r="O40" s="23" t="str">
        <f aca="false">IF($F40="","",ROUND($H$3*$F40*J$5,0))</f>
        <v/>
      </c>
      <c r="P40" s="23" t="str">
        <f aca="false">IF($F40="","",ROUND($H$3*$F40*K$5,0))</f>
        <v/>
      </c>
      <c r="Q40" s="4"/>
      <c r="R40" s="4"/>
      <c r="S40" s="4"/>
      <c r="T40" s="4"/>
    </row>
    <row r="41" customFormat="false" ht="15" hidden="false" customHeight="false" outlineLevel="0" collapsed="false">
      <c r="A41" s="8" t="str">
        <f aca="false">'Initial char'!A41</f>
        <v>Q2</v>
      </c>
      <c r="B41" s="8" t="n">
        <f aca="false">'Initial char'!B41</f>
        <v>10</v>
      </c>
      <c r="C41" s="8" t="n">
        <f aca="false">'Initial char'!C41</f>
        <v>10</v>
      </c>
      <c r="D41" s="8" t="str">
        <f aca="false">'Initial char'!D41</f>
        <v/>
      </c>
      <c r="E41" s="27" t="str">
        <f aca="false">IF('Initial char'!O41="","",'Initial char'!O41)</f>
        <v/>
      </c>
      <c r="F41" s="28" t="str">
        <f aca="false">IF('Initial char'!N41="","",'Initial char'!N41)</f>
        <v/>
      </c>
      <c r="G41" s="19" t="str">
        <f aca="false">IF($E41="","",$E41+G$5)</f>
        <v/>
      </c>
      <c r="H41" s="19" t="str">
        <f aca="false">IF($E41="","",$E41+H$5)</f>
        <v/>
      </c>
      <c r="I41" s="19" t="str">
        <f aca="false">IF($E41="","",$E41+I$5)</f>
        <v/>
      </c>
      <c r="J41" s="19" t="str">
        <f aca="false">IF($E41="","",$E41+J$5)</f>
        <v/>
      </c>
      <c r="K41" s="19" t="str">
        <f aca="false">IF($E41="","",$E41+K$5)</f>
        <v/>
      </c>
      <c r="L41" s="23" t="str">
        <f aca="false">IF($F41="","",ROUND($H$3*$F41*G$5,0))</f>
        <v/>
      </c>
      <c r="M41" s="23" t="str">
        <f aca="false">IF($F41="","",ROUND($H$3*$F41*H$5,0))</f>
        <v/>
      </c>
      <c r="N41" s="23" t="str">
        <f aca="false">IF($F41="","",ROUND($H$3*$F41*I$5,0))</f>
        <v/>
      </c>
      <c r="O41" s="23" t="str">
        <f aca="false">IF($F41="","",ROUND($H$3*$F41*J$5,0))</f>
        <v/>
      </c>
      <c r="P41" s="23" t="str">
        <f aca="false">IF($F41="","",ROUND($H$3*$F41*K$5,0))</f>
        <v/>
      </c>
      <c r="Q41" s="4"/>
      <c r="R41" s="4"/>
      <c r="S41" s="4"/>
      <c r="T41" s="4"/>
    </row>
    <row r="42" customFormat="false" ht="15" hidden="false" customHeight="false" outlineLevel="0" collapsed="false">
      <c r="A42" s="8" t="str">
        <f aca="false">'Initial char'!A42</f>
        <v>Q2</v>
      </c>
      <c r="B42" s="8" t="n">
        <f aca="false">'Initial char'!B42</f>
        <v>11</v>
      </c>
      <c r="C42" s="8" t="n">
        <f aca="false">'Initial char'!C42</f>
        <v>11</v>
      </c>
      <c r="D42" s="8" t="str">
        <f aca="false">'Initial char'!D42</f>
        <v/>
      </c>
      <c r="E42" s="27" t="str">
        <f aca="false">IF('Initial char'!O42="","",'Initial char'!O42)</f>
        <v/>
      </c>
      <c r="F42" s="28" t="str">
        <f aca="false">IF('Initial char'!N42="","",'Initial char'!N42)</f>
        <v/>
      </c>
      <c r="G42" s="19" t="str">
        <f aca="false">IF($E42="","",$E42+G$5)</f>
        <v/>
      </c>
      <c r="H42" s="19" t="str">
        <f aca="false">IF($E42="","",$E42+H$5)</f>
        <v/>
      </c>
      <c r="I42" s="19" t="str">
        <f aca="false">IF($E42="","",$E42+I$5)</f>
        <v/>
      </c>
      <c r="J42" s="19" t="str">
        <f aca="false">IF($E42="","",$E42+J$5)</f>
        <v/>
      </c>
      <c r="K42" s="19" t="str">
        <f aca="false">IF($E42="","",$E42+K$5)</f>
        <v/>
      </c>
      <c r="L42" s="23" t="str">
        <f aca="false">IF($F42="","",ROUND($H$3*$F42*G$5,0))</f>
        <v/>
      </c>
      <c r="M42" s="23" t="str">
        <f aca="false">IF($F42="","",ROUND($H$3*$F42*H$5,0))</f>
        <v/>
      </c>
      <c r="N42" s="23" t="str">
        <f aca="false">IF($F42="","",ROUND($H$3*$F42*I$5,0))</f>
        <v/>
      </c>
      <c r="O42" s="23" t="str">
        <f aca="false">IF($F42="","",ROUND($H$3*$F42*J$5,0))</f>
        <v/>
      </c>
      <c r="P42" s="23" t="str">
        <f aca="false">IF($F42="","",ROUND($H$3*$F42*K$5,0))</f>
        <v/>
      </c>
      <c r="Q42" s="4"/>
      <c r="R42" s="4"/>
      <c r="S42" s="4"/>
      <c r="T42" s="4"/>
    </row>
    <row r="43" customFormat="false" ht="15" hidden="false" customHeight="false" outlineLevel="0" collapsed="false">
      <c r="A43" s="8" t="str">
        <f aca="false">'Initial char'!A43</f>
        <v>Q2</v>
      </c>
      <c r="B43" s="8" t="n">
        <f aca="false">'Initial char'!B43</f>
        <v>12</v>
      </c>
      <c r="C43" s="8" t="n">
        <f aca="false">'Initial char'!C43</f>
        <v>12</v>
      </c>
      <c r="D43" s="8" t="str">
        <f aca="false">'Initial char'!D43</f>
        <v/>
      </c>
      <c r="E43" s="27" t="str">
        <f aca="false">IF('Initial char'!O43="","",'Initial char'!O43)</f>
        <v/>
      </c>
      <c r="F43" s="28" t="str">
        <f aca="false">IF('Initial char'!N43="","",'Initial char'!N43)</f>
        <v/>
      </c>
      <c r="G43" s="19" t="str">
        <f aca="false">IF($E43="","",$E43+G$5)</f>
        <v/>
      </c>
      <c r="H43" s="19" t="str">
        <f aca="false">IF($E43="","",$E43+H$5)</f>
        <v/>
      </c>
      <c r="I43" s="19" t="str">
        <f aca="false">IF($E43="","",$E43+I$5)</f>
        <v/>
      </c>
      <c r="J43" s="19" t="str">
        <f aca="false">IF($E43="","",$E43+J$5)</f>
        <v/>
      </c>
      <c r="K43" s="19" t="str">
        <f aca="false">IF($E43="","",$E43+K$5)</f>
        <v/>
      </c>
      <c r="L43" s="23" t="str">
        <f aca="false">IF($F43="","",ROUND($H$3*$F43*G$5,0))</f>
        <v/>
      </c>
      <c r="M43" s="23" t="str">
        <f aca="false">IF($F43="","",ROUND($H$3*$F43*H$5,0))</f>
        <v/>
      </c>
      <c r="N43" s="23" t="str">
        <f aca="false">IF($F43="","",ROUND($H$3*$F43*I$5,0))</f>
        <v/>
      </c>
      <c r="O43" s="23" t="str">
        <f aca="false">IF($F43="","",ROUND($H$3*$F43*J$5,0))</f>
        <v/>
      </c>
      <c r="P43" s="23" t="str">
        <f aca="false">IF($F43="","",ROUND($H$3*$F43*K$5,0))</f>
        <v/>
      </c>
      <c r="Q43" s="4"/>
      <c r="R43" s="4"/>
      <c r="S43" s="4"/>
      <c r="T43" s="4"/>
    </row>
    <row r="44" customFormat="false" ht="15" hidden="false" customHeight="false" outlineLevel="0" collapsed="false">
      <c r="A44" s="8" t="str">
        <f aca="false">'Initial char'!A44</f>
        <v>Q2</v>
      </c>
      <c r="B44" s="8" t="n">
        <f aca="false">'Initial char'!B44</f>
        <v>13</v>
      </c>
      <c r="C44" s="8" t="n">
        <f aca="false">'Initial char'!C44</f>
        <v>13</v>
      </c>
      <c r="D44" s="8" t="str">
        <f aca="false">'Initial char'!D44</f>
        <v/>
      </c>
      <c r="E44" s="27" t="str">
        <f aca="false">IF('Initial char'!O44="","",'Initial char'!O44)</f>
        <v/>
      </c>
      <c r="F44" s="28" t="str">
        <f aca="false">IF('Initial char'!N44="","",'Initial char'!N44)</f>
        <v/>
      </c>
      <c r="G44" s="19" t="str">
        <f aca="false">IF($E44="","",$E44+G$5)</f>
        <v/>
      </c>
      <c r="H44" s="19" t="str">
        <f aca="false">IF($E44="","",$E44+H$5)</f>
        <v/>
      </c>
      <c r="I44" s="19" t="str">
        <f aca="false">IF($E44="","",$E44+I$5)</f>
        <v/>
      </c>
      <c r="J44" s="19" t="str">
        <f aca="false">IF($E44="","",$E44+J$5)</f>
        <v/>
      </c>
      <c r="K44" s="19" t="str">
        <f aca="false">IF($E44="","",$E44+K$5)</f>
        <v/>
      </c>
      <c r="L44" s="23" t="str">
        <f aca="false">IF($F44="","",ROUND($H$3*$F44*G$5,0))</f>
        <v/>
      </c>
      <c r="M44" s="23" t="str">
        <f aca="false">IF($F44="","",ROUND($H$3*$F44*H$5,0))</f>
        <v/>
      </c>
      <c r="N44" s="23" t="str">
        <f aca="false">IF($F44="","",ROUND($H$3*$F44*I$5,0))</f>
        <v/>
      </c>
      <c r="O44" s="23" t="str">
        <f aca="false">IF($F44="","",ROUND($H$3*$F44*J$5,0))</f>
        <v/>
      </c>
      <c r="P44" s="23" t="str">
        <f aca="false">IF($F44="","",ROUND($H$3*$F44*K$5,0))</f>
        <v/>
      </c>
      <c r="Q44" s="4"/>
      <c r="R44" s="4"/>
      <c r="S44" s="4"/>
      <c r="T44" s="4"/>
    </row>
    <row r="45" customFormat="false" ht="15" hidden="false" customHeight="false" outlineLevel="0" collapsed="false">
      <c r="A45" s="8" t="str">
        <f aca="false">'Initial char'!A45</f>
        <v>Q2</v>
      </c>
      <c r="B45" s="8" t="n">
        <f aca="false">'Initial char'!B45</f>
        <v>14</v>
      </c>
      <c r="C45" s="8" t="n">
        <f aca="false">'Initial char'!C45</f>
        <v>14</v>
      </c>
      <c r="D45" s="8" t="str">
        <f aca="false">'Initial char'!D45</f>
        <v/>
      </c>
      <c r="E45" s="27" t="str">
        <f aca="false">IF('Initial char'!O45="","",'Initial char'!O45)</f>
        <v/>
      </c>
      <c r="F45" s="28" t="str">
        <f aca="false">IF('Initial char'!N45="","",'Initial char'!N45)</f>
        <v/>
      </c>
      <c r="G45" s="19" t="str">
        <f aca="false">IF($E45="","",$E45+G$5)</f>
        <v/>
      </c>
      <c r="H45" s="19" t="str">
        <f aca="false">IF($E45="","",$E45+H$5)</f>
        <v/>
      </c>
      <c r="I45" s="19" t="str">
        <f aca="false">IF($E45="","",$E45+I$5)</f>
        <v/>
      </c>
      <c r="J45" s="19" t="str">
        <f aca="false">IF($E45="","",$E45+J$5)</f>
        <v/>
      </c>
      <c r="K45" s="19" t="str">
        <f aca="false">IF($E45="","",$E45+K$5)</f>
        <v/>
      </c>
      <c r="L45" s="23" t="str">
        <f aca="false">IF($F45="","",ROUND($H$3*$F45*G$5,0))</f>
        <v/>
      </c>
      <c r="M45" s="23" t="str">
        <f aca="false">IF($F45="","",ROUND($H$3*$F45*H$5,0))</f>
        <v/>
      </c>
      <c r="N45" s="23" t="str">
        <f aca="false">IF($F45="","",ROUND($H$3*$F45*I$5,0))</f>
        <v/>
      </c>
      <c r="O45" s="23" t="str">
        <f aca="false">IF($F45="","",ROUND($H$3*$F45*J$5,0))</f>
        <v/>
      </c>
      <c r="P45" s="23" t="str">
        <f aca="false">IF($F45="","",ROUND($H$3*$F45*K$5,0))</f>
        <v/>
      </c>
      <c r="Q45" s="4"/>
      <c r="R45" s="4"/>
      <c r="S45" s="4"/>
      <c r="T45" s="4"/>
    </row>
    <row r="46" customFormat="false" ht="15" hidden="false" customHeight="false" outlineLevel="0" collapsed="false">
      <c r="A46" s="8" t="str">
        <f aca="false">'Initial char'!A46</f>
        <v>Q2</v>
      </c>
      <c r="B46" s="8" t="n">
        <f aca="false">'Initial char'!B46</f>
        <v>15</v>
      </c>
      <c r="C46" s="8" t="n">
        <f aca="false">'Initial char'!C46</f>
        <v>15</v>
      </c>
      <c r="D46" s="8" t="str">
        <f aca="false">'Initial char'!D46</f>
        <v/>
      </c>
      <c r="E46" s="27" t="str">
        <f aca="false">IF('Initial char'!O46="","",'Initial char'!O46)</f>
        <v/>
      </c>
      <c r="F46" s="28" t="str">
        <f aca="false">IF('Initial char'!N46="","",'Initial char'!N46)</f>
        <v/>
      </c>
      <c r="G46" s="19" t="str">
        <f aca="false">IF($E46="","",$E46+G$5)</f>
        <v/>
      </c>
      <c r="H46" s="19" t="str">
        <f aca="false">IF($E46="","",$E46+H$5)</f>
        <v/>
      </c>
      <c r="I46" s="19" t="str">
        <f aca="false">IF($E46="","",$E46+I$5)</f>
        <v/>
      </c>
      <c r="J46" s="19" t="str">
        <f aca="false">IF($E46="","",$E46+J$5)</f>
        <v/>
      </c>
      <c r="K46" s="19" t="str">
        <f aca="false">IF($E46="","",$E46+K$5)</f>
        <v/>
      </c>
      <c r="L46" s="23" t="str">
        <f aca="false">IF($F46="","",ROUND($H$3*$F46*G$5,0))</f>
        <v/>
      </c>
      <c r="M46" s="23" t="str">
        <f aca="false">IF($F46="","",ROUND($H$3*$F46*H$5,0))</f>
        <v/>
      </c>
      <c r="N46" s="23" t="str">
        <f aca="false">IF($F46="","",ROUND($H$3*$F46*I$5,0))</f>
        <v/>
      </c>
      <c r="O46" s="23" t="str">
        <f aca="false">IF($F46="","",ROUND($H$3*$F46*J$5,0))</f>
        <v/>
      </c>
      <c r="P46" s="23" t="str">
        <f aca="false">IF($F46="","",ROUND($H$3*$F46*K$5,0))</f>
        <v/>
      </c>
      <c r="Q46" s="4"/>
      <c r="R46" s="4"/>
      <c r="S46" s="4"/>
      <c r="T46" s="4"/>
    </row>
    <row r="47" customFormat="false" ht="15" hidden="false" customHeight="false" outlineLevel="0" collapsed="false">
      <c r="A47" s="8" t="str">
        <f aca="false">'Initial char'!A47</f>
        <v>Q2</v>
      </c>
      <c r="B47" s="8" t="n">
        <f aca="false">'Initial char'!B47</f>
        <v>16</v>
      </c>
      <c r="C47" s="8" t="n">
        <f aca="false">'Initial char'!C47</f>
        <v>16</v>
      </c>
      <c r="D47" s="8" t="str">
        <f aca="false">'Initial char'!D47</f>
        <v/>
      </c>
      <c r="E47" s="27" t="str">
        <f aca="false">IF('Initial char'!O47="","",'Initial char'!O47)</f>
        <v/>
      </c>
      <c r="F47" s="28" t="str">
        <f aca="false">IF('Initial char'!N47="","",'Initial char'!N47)</f>
        <v/>
      </c>
      <c r="G47" s="19" t="str">
        <f aca="false">IF($E47="","",$E47+G$5)</f>
        <v/>
      </c>
      <c r="H47" s="19" t="str">
        <f aca="false">IF($E47="","",$E47+H$5)</f>
        <v/>
      </c>
      <c r="I47" s="19" t="str">
        <f aca="false">IF($E47="","",$E47+I$5)</f>
        <v/>
      </c>
      <c r="J47" s="19" t="str">
        <f aca="false">IF($E47="","",$E47+J$5)</f>
        <v/>
      </c>
      <c r="K47" s="19" t="str">
        <f aca="false">IF($E47="","",$E47+K$5)</f>
        <v/>
      </c>
      <c r="L47" s="23" t="str">
        <f aca="false">IF($F47="","",ROUND($H$3*$F47*G$5,0))</f>
        <v/>
      </c>
      <c r="M47" s="23" t="str">
        <f aca="false">IF($F47="","",ROUND($H$3*$F47*H$5,0))</f>
        <v/>
      </c>
      <c r="N47" s="23" t="str">
        <f aca="false">IF($F47="","",ROUND($H$3*$F47*I$5,0))</f>
        <v/>
      </c>
      <c r="O47" s="23" t="str">
        <f aca="false">IF($F47="","",ROUND($H$3*$F47*J$5,0))</f>
        <v/>
      </c>
      <c r="P47" s="23" t="str">
        <f aca="false">IF($F47="","",ROUND($H$3*$F47*K$5,0))</f>
        <v/>
      </c>
      <c r="Q47" s="4"/>
      <c r="R47" s="4"/>
      <c r="S47" s="4"/>
      <c r="T47" s="4"/>
    </row>
    <row r="48" customFormat="false" ht="15" hidden="false" customHeight="false" outlineLevel="0" collapsed="false">
      <c r="A48" s="8" t="str">
        <f aca="false">'Initial char'!A48</f>
        <v>Q2</v>
      </c>
      <c r="B48" s="8" t="n">
        <f aca="false">'Initial char'!B48</f>
        <v>23</v>
      </c>
      <c r="C48" s="8" t="n">
        <f aca="false">'Initial char'!C48</f>
        <v>23</v>
      </c>
      <c r="D48" s="8" t="str">
        <f aca="false">'Initial char'!D48</f>
        <v/>
      </c>
      <c r="E48" s="27" t="str">
        <f aca="false">IF('Initial char'!O48="","",'Initial char'!O48)</f>
        <v/>
      </c>
      <c r="F48" s="28" t="str">
        <f aca="false">IF('Initial char'!N48="","",'Initial char'!N48)</f>
        <v/>
      </c>
      <c r="G48" s="19" t="str">
        <f aca="false">IF($E48="","",$E48+G$5)</f>
        <v/>
      </c>
      <c r="H48" s="19" t="str">
        <f aca="false">IF($E48="","",$E48+H$5)</f>
        <v/>
      </c>
      <c r="I48" s="19" t="str">
        <f aca="false">IF($E48="","",$E48+I$5)</f>
        <v/>
      </c>
      <c r="J48" s="19" t="str">
        <f aca="false">IF($E48="","",$E48+J$5)</f>
        <v/>
      </c>
      <c r="K48" s="19" t="str">
        <f aca="false">IF($E48="","",$E48+K$5)</f>
        <v/>
      </c>
      <c r="L48" s="23" t="str">
        <f aca="false">IF($F48="","",ROUND($H$3*$F48*G$5,0))</f>
        <v/>
      </c>
      <c r="M48" s="23" t="str">
        <f aca="false">IF($F48="","",ROUND($H$3*$F48*H$5,0))</f>
        <v/>
      </c>
      <c r="N48" s="23" t="str">
        <f aca="false">IF($F48="","",ROUND($H$3*$F48*I$5,0))</f>
        <v/>
      </c>
      <c r="O48" s="23" t="str">
        <f aca="false">IF($F48="","",ROUND($H$3*$F48*J$5,0))</f>
        <v/>
      </c>
      <c r="P48" s="23" t="str">
        <f aca="false">IF($F48="","",ROUND($H$3*$F48*K$5,0))</f>
        <v/>
      </c>
      <c r="Q48" s="4"/>
      <c r="R48" s="4"/>
      <c r="S48" s="4"/>
      <c r="T48" s="4"/>
    </row>
    <row r="49" customFormat="false" ht="15" hidden="false" customHeight="false" outlineLevel="0" collapsed="false">
      <c r="A49" s="8" t="str">
        <f aca="false">'Initial char'!A49</f>
        <v>Q2</v>
      </c>
      <c r="B49" s="8" t="n">
        <f aca="false">'Initial char'!B49</f>
        <v>24</v>
      </c>
      <c r="C49" s="8" t="n">
        <f aca="false">'Initial char'!C49</f>
        <v>24</v>
      </c>
      <c r="D49" s="8" t="str">
        <f aca="false">'Initial char'!D49</f>
        <v/>
      </c>
      <c r="E49" s="27" t="str">
        <f aca="false">IF('Initial char'!O49="","",'Initial char'!O49)</f>
        <v/>
      </c>
      <c r="F49" s="28" t="str">
        <f aca="false">IF('Initial char'!N49="","",'Initial char'!N49)</f>
        <v/>
      </c>
      <c r="G49" s="19" t="str">
        <f aca="false">IF($E49="","",$E49+G$5)</f>
        <v/>
      </c>
      <c r="H49" s="19" t="str">
        <f aca="false">IF($E49="","",$E49+H$5)</f>
        <v/>
      </c>
      <c r="I49" s="19" t="str">
        <f aca="false">IF($E49="","",$E49+I$5)</f>
        <v/>
      </c>
      <c r="J49" s="19" t="str">
        <f aca="false">IF($E49="","",$E49+J$5)</f>
        <v/>
      </c>
      <c r="K49" s="19" t="str">
        <f aca="false">IF($E49="","",$E49+K$5)</f>
        <v/>
      </c>
      <c r="L49" s="23" t="str">
        <f aca="false">IF($F49="","",ROUND($H$3*$F49*G$5,0))</f>
        <v/>
      </c>
      <c r="M49" s="23" t="str">
        <f aca="false">IF($F49="","",ROUND($H$3*$F49*H$5,0))</f>
        <v/>
      </c>
      <c r="N49" s="23" t="str">
        <f aca="false">IF($F49="","",ROUND($H$3*$F49*I$5,0))</f>
        <v/>
      </c>
      <c r="O49" s="23" t="str">
        <f aca="false">IF($F49="","",ROUND($H$3*$F49*J$5,0))</f>
        <v/>
      </c>
      <c r="P49" s="23" t="str">
        <f aca="false">IF($F49="","",ROUND($H$3*$F49*K$5,0))</f>
        <v/>
      </c>
      <c r="Q49" s="4"/>
      <c r="R49" s="4"/>
      <c r="S49" s="4"/>
      <c r="T49" s="4"/>
    </row>
    <row r="50" customFormat="false" ht="15" hidden="false" customHeight="false" outlineLevel="0" collapsed="false">
      <c r="A50" s="8" t="str">
        <f aca="false">'Initial char'!A50</f>
        <v>Q2</v>
      </c>
      <c r="B50" s="8" t="n">
        <f aca="false">'Initial char'!B50</f>
        <v>25</v>
      </c>
      <c r="C50" s="8" t="n">
        <f aca="false">'Initial char'!C50</f>
        <v>25</v>
      </c>
      <c r="D50" s="8" t="str">
        <f aca="false">'Initial char'!D50</f>
        <v/>
      </c>
      <c r="E50" s="27" t="str">
        <f aca="false">IF('Initial char'!O50="","",'Initial char'!O50)</f>
        <v/>
      </c>
      <c r="F50" s="28" t="str">
        <f aca="false">IF('Initial char'!N50="","",'Initial char'!N50)</f>
        <v/>
      </c>
      <c r="G50" s="19" t="str">
        <f aca="false">IF($E50="","",$E50+G$5)</f>
        <v/>
      </c>
      <c r="H50" s="19" t="str">
        <f aca="false">IF($E50="","",$E50+H$5)</f>
        <v/>
      </c>
      <c r="I50" s="19" t="str">
        <f aca="false">IF($E50="","",$E50+I$5)</f>
        <v/>
      </c>
      <c r="J50" s="19" t="str">
        <f aca="false">IF($E50="","",$E50+J$5)</f>
        <v/>
      </c>
      <c r="K50" s="19" t="str">
        <f aca="false">IF($E50="","",$E50+K$5)</f>
        <v/>
      </c>
      <c r="L50" s="23" t="str">
        <f aca="false">IF($F50="","",ROUND($H$3*$F50*G$5,0))</f>
        <v/>
      </c>
      <c r="M50" s="23" t="str">
        <f aca="false">IF($F50="","",ROUND($H$3*$F50*H$5,0))</f>
        <v/>
      </c>
      <c r="N50" s="23" t="str">
        <f aca="false">IF($F50="","",ROUND($H$3*$F50*I$5,0))</f>
        <v/>
      </c>
      <c r="O50" s="23" t="str">
        <f aca="false">IF($F50="","",ROUND($H$3*$F50*J$5,0))</f>
        <v/>
      </c>
      <c r="P50" s="23" t="str">
        <f aca="false">IF($F50="","",ROUND($H$3*$F50*K$5,0))</f>
        <v/>
      </c>
      <c r="Q50" s="4"/>
      <c r="R50" s="4"/>
      <c r="S50" s="4"/>
      <c r="T50" s="4"/>
    </row>
    <row r="51" customFormat="false" ht="15" hidden="false" customHeight="false" outlineLevel="0" collapsed="false">
      <c r="A51" s="8" t="str">
        <f aca="false">'Initial char'!A51</f>
        <v>Q2</v>
      </c>
      <c r="B51" s="8" t="n">
        <f aca="false">'Initial char'!B51</f>
        <v>26</v>
      </c>
      <c r="C51" s="8" t="n">
        <f aca="false">'Initial char'!C51</f>
        <v>26</v>
      </c>
      <c r="D51" s="8" t="str">
        <f aca="false">'Initial char'!D51</f>
        <v/>
      </c>
      <c r="E51" s="27" t="str">
        <f aca="false">IF('Initial char'!O51="","",'Initial char'!O51)</f>
        <v/>
      </c>
      <c r="F51" s="28" t="str">
        <f aca="false">IF('Initial char'!N51="","",'Initial char'!N51)</f>
        <v/>
      </c>
      <c r="G51" s="19" t="str">
        <f aca="false">IF($E51="","",$E51+G$5)</f>
        <v/>
      </c>
      <c r="H51" s="19" t="str">
        <f aca="false">IF($E51="","",$E51+H$5)</f>
        <v/>
      </c>
      <c r="I51" s="19" t="str">
        <f aca="false">IF($E51="","",$E51+I$5)</f>
        <v/>
      </c>
      <c r="J51" s="19" t="str">
        <f aca="false">IF($E51="","",$E51+J$5)</f>
        <v/>
      </c>
      <c r="K51" s="19" t="str">
        <f aca="false">IF($E51="","",$E51+K$5)</f>
        <v/>
      </c>
      <c r="L51" s="23" t="str">
        <f aca="false">IF($F51="","",ROUND($H$3*$F51*G$5,0))</f>
        <v/>
      </c>
      <c r="M51" s="23" t="str">
        <f aca="false">IF($F51="","",ROUND($H$3*$F51*H$5,0))</f>
        <v/>
      </c>
      <c r="N51" s="23" t="str">
        <f aca="false">IF($F51="","",ROUND($H$3*$F51*I$5,0))</f>
        <v/>
      </c>
      <c r="O51" s="23" t="str">
        <f aca="false">IF($F51="","",ROUND($H$3*$F51*J$5,0))</f>
        <v/>
      </c>
      <c r="P51" s="23" t="str">
        <f aca="false">IF($F51="","",ROUND($H$3*$F51*K$5,0))</f>
        <v/>
      </c>
      <c r="Q51" s="4"/>
      <c r="R51" s="4"/>
      <c r="S51" s="4"/>
      <c r="T51" s="4"/>
    </row>
    <row r="52" customFormat="false" ht="15" hidden="false" customHeight="false" outlineLevel="0" collapsed="false">
      <c r="A52" s="8" t="str">
        <f aca="false">'Initial char'!A52</f>
        <v>Q2</v>
      </c>
      <c r="B52" s="8" t="n">
        <f aca="false">'Initial char'!B52</f>
        <v>27</v>
      </c>
      <c r="C52" s="8" t="n">
        <f aca="false">'Initial char'!C52</f>
        <v>27</v>
      </c>
      <c r="D52" s="8" t="str">
        <f aca="false">'Initial char'!D52</f>
        <v/>
      </c>
      <c r="E52" s="27" t="str">
        <f aca="false">IF('Initial char'!O52="","",'Initial char'!O52)</f>
        <v/>
      </c>
      <c r="F52" s="28" t="str">
        <f aca="false">IF('Initial char'!N52="","",'Initial char'!N52)</f>
        <v/>
      </c>
      <c r="G52" s="19" t="str">
        <f aca="false">IF($E52="","",$E52+G$5)</f>
        <v/>
      </c>
      <c r="H52" s="19" t="str">
        <f aca="false">IF($E52="","",$E52+H$5)</f>
        <v/>
      </c>
      <c r="I52" s="19" t="str">
        <f aca="false">IF($E52="","",$E52+I$5)</f>
        <v/>
      </c>
      <c r="J52" s="19" t="str">
        <f aca="false">IF($E52="","",$E52+J$5)</f>
        <v/>
      </c>
      <c r="K52" s="19" t="str">
        <f aca="false">IF($E52="","",$E52+K$5)</f>
        <v/>
      </c>
      <c r="L52" s="23" t="str">
        <f aca="false">IF($F52="","",ROUND($H$3*$F52*G$5,0))</f>
        <v/>
      </c>
      <c r="M52" s="23" t="str">
        <f aca="false">IF($F52="","",ROUND($H$3*$F52*H$5,0))</f>
        <v/>
      </c>
      <c r="N52" s="23" t="str">
        <f aca="false">IF($F52="","",ROUND($H$3*$F52*I$5,0))</f>
        <v/>
      </c>
      <c r="O52" s="23" t="str">
        <f aca="false">IF($F52="","",ROUND($H$3*$F52*J$5,0))</f>
        <v/>
      </c>
      <c r="P52" s="23" t="str">
        <f aca="false">IF($F52="","",ROUND($H$3*$F52*K$5,0))</f>
        <v/>
      </c>
      <c r="Q52" s="4"/>
      <c r="R52" s="4"/>
      <c r="S52" s="4"/>
      <c r="T52" s="4"/>
    </row>
    <row r="53" customFormat="false" ht="15" hidden="false" customHeight="false" outlineLevel="0" collapsed="false">
      <c r="A53" s="8" t="str">
        <f aca="false">'Initial char'!A53</f>
        <v>Q2</v>
      </c>
      <c r="B53" s="8" t="n">
        <f aca="false">'Initial char'!B53</f>
        <v>28</v>
      </c>
      <c r="C53" s="8" t="n">
        <f aca="false">'Initial char'!C53</f>
        <v>28</v>
      </c>
      <c r="D53" s="8" t="str">
        <f aca="false">'Initial char'!D53</f>
        <v/>
      </c>
      <c r="E53" s="27" t="str">
        <f aca="false">IF('Initial char'!O53="","",'Initial char'!O53)</f>
        <v/>
      </c>
      <c r="F53" s="28" t="str">
        <f aca="false">IF('Initial char'!N53="","",'Initial char'!N53)</f>
        <v/>
      </c>
      <c r="G53" s="19" t="str">
        <f aca="false">IF($E53="","",$E53+G$5)</f>
        <v/>
      </c>
      <c r="H53" s="19" t="str">
        <f aca="false">IF($E53="","",$E53+H$5)</f>
        <v/>
      </c>
      <c r="I53" s="19" t="str">
        <f aca="false">IF($E53="","",$E53+I$5)</f>
        <v/>
      </c>
      <c r="J53" s="19" t="str">
        <f aca="false">IF($E53="","",$E53+J$5)</f>
        <v/>
      </c>
      <c r="K53" s="19" t="str">
        <f aca="false">IF($E53="","",$E53+K$5)</f>
        <v/>
      </c>
      <c r="L53" s="23" t="str">
        <f aca="false">IF($F53="","",ROUND($H$3*$F53*G$5,0))</f>
        <v/>
      </c>
      <c r="M53" s="23" t="str">
        <f aca="false">IF($F53="","",ROUND($H$3*$F53*H$5,0))</f>
        <v/>
      </c>
      <c r="N53" s="23" t="str">
        <f aca="false">IF($F53="","",ROUND($H$3*$F53*I$5,0))</f>
        <v/>
      </c>
      <c r="O53" s="23" t="str">
        <f aca="false">IF($F53="","",ROUND($H$3*$F53*J$5,0))</f>
        <v/>
      </c>
      <c r="P53" s="23" t="str">
        <f aca="false">IF($F53="","",ROUND($H$3*$F53*K$5,0))</f>
        <v/>
      </c>
      <c r="Q53" s="4"/>
      <c r="R53" s="4"/>
      <c r="S53" s="4"/>
      <c r="T53" s="4"/>
    </row>
    <row r="54" customFormat="false" ht="15" hidden="false" customHeight="false" outlineLevel="0" collapsed="false">
      <c r="A54" s="8" t="str">
        <f aca="false">'Initial char'!A54</f>
        <v>Q2</v>
      </c>
      <c r="B54" s="8" t="n">
        <f aca="false">'Initial char'!B54</f>
        <v>29</v>
      </c>
      <c r="C54" s="8" t="n">
        <f aca="false">'Initial char'!C54</f>
        <v>29</v>
      </c>
      <c r="D54" s="8" t="str">
        <f aca="false">'Initial char'!D54</f>
        <v/>
      </c>
      <c r="E54" s="27" t="str">
        <f aca="false">IF('Initial char'!O54="","",'Initial char'!O54)</f>
        <v/>
      </c>
      <c r="F54" s="28" t="str">
        <f aca="false">IF('Initial char'!N54="","",'Initial char'!N54)</f>
        <v/>
      </c>
      <c r="G54" s="19" t="str">
        <f aca="false">IF($E54="","",$E54+G$5)</f>
        <v/>
      </c>
      <c r="H54" s="19" t="str">
        <f aca="false">IF($E54="","",$E54+H$5)</f>
        <v/>
      </c>
      <c r="I54" s="19" t="str">
        <f aca="false">IF($E54="","",$E54+I$5)</f>
        <v/>
      </c>
      <c r="J54" s="19" t="str">
        <f aca="false">IF($E54="","",$E54+J$5)</f>
        <v/>
      </c>
      <c r="K54" s="19" t="str">
        <f aca="false">IF($E54="","",$E54+K$5)</f>
        <v/>
      </c>
      <c r="L54" s="23" t="str">
        <f aca="false">IF($F54="","",ROUND($H$3*$F54*G$5,0))</f>
        <v/>
      </c>
      <c r="M54" s="23" t="str">
        <f aca="false">IF($F54="","",ROUND($H$3*$F54*H$5,0))</f>
        <v/>
      </c>
      <c r="N54" s="23" t="str">
        <f aca="false">IF($F54="","",ROUND($H$3*$F54*I$5,0))</f>
        <v/>
      </c>
      <c r="O54" s="23" t="str">
        <f aca="false">IF($F54="","",ROUND($H$3*$F54*J$5,0))</f>
        <v/>
      </c>
      <c r="P54" s="23" t="str">
        <f aca="false">IF($F54="","",ROUND($H$3*$F54*K$5,0))</f>
        <v/>
      </c>
      <c r="Q54" s="4"/>
      <c r="R54" s="4"/>
      <c r="S54" s="4"/>
      <c r="T54" s="4"/>
    </row>
    <row r="55" customFormat="false" ht="15" hidden="false" customHeight="false" outlineLevel="0" collapsed="false">
      <c r="A55" s="8" t="str">
        <f aca="false">'Initial char'!A55</f>
        <v>Q2</v>
      </c>
      <c r="B55" s="8" t="n">
        <f aca="false">'Initial char'!B55</f>
        <v>30</v>
      </c>
      <c r="C55" s="8" t="n">
        <f aca="false">'Initial char'!C55</f>
        <v>30</v>
      </c>
      <c r="D55" s="8" t="str">
        <f aca="false">'Initial char'!D55</f>
        <v/>
      </c>
      <c r="E55" s="27" t="str">
        <f aca="false">IF('Initial char'!O55="","",'Initial char'!O55)</f>
        <v/>
      </c>
      <c r="F55" s="28" t="str">
        <f aca="false">IF('Initial char'!N55="","",'Initial char'!N55)</f>
        <v/>
      </c>
      <c r="G55" s="19" t="str">
        <f aca="false">IF($E55="","",$E55+G$5)</f>
        <v/>
      </c>
      <c r="H55" s="19" t="str">
        <f aca="false">IF($E55="","",$E55+H$5)</f>
        <v/>
      </c>
      <c r="I55" s="19" t="str">
        <f aca="false">IF($E55="","",$E55+I$5)</f>
        <v/>
      </c>
      <c r="J55" s="19" t="str">
        <f aca="false">IF($E55="","",$E55+J$5)</f>
        <v/>
      </c>
      <c r="K55" s="19" t="str">
        <f aca="false">IF($E55="","",$E55+K$5)</f>
        <v/>
      </c>
      <c r="L55" s="23" t="str">
        <f aca="false">IF($F55="","",ROUND($H$3*$F55*G$5,0))</f>
        <v/>
      </c>
      <c r="M55" s="23" t="str">
        <f aca="false">IF($F55="","",ROUND($H$3*$F55*H$5,0))</f>
        <v/>
      </c>
      <c r="N55" s="23" t="str">
        <f aca="false">IF($F55="","",ROUND($H$3*$F55*I$5,0))</f>
        <v/>
      </c>
      <c r="O55" s="23" t="str">
        <f aca="false">IF($F55="","",ROUND($H$3*$F55*J$5,0))</f>
        <v/>
      </c>
      <c r="P55" s="23" t="str">
        <f aca="false">IF($F55="","",ROUND($H$3*$F55*K$5,0))</f>
        <v/>
      </c>
      <c r="Q55" s="4"/>
      <c r="R55" s="4"/>
      <c r="S55" s="4"/>
      <c r="T55" s="4"/>
    </row>
    <row r="56" customFormat="false" ht="15" hidden="false" customHeight="false" outlineLevel="0" collapsed="false">
      <c r="A56" s="8" t="str">
        <f aca="false">'Initial char'!A56</f>
        <v>Q3</v>
      </c>
      <c r="B56" s="8" t="n">
        <f aca="false">'Initial char'!B56</f>
        <v>1</v>
      </c>
      <c r="C56" s="8" t="n">
        <f aca="false">'Initial char'!C56</f>
        <v>1</v>
      </c>
      <c r="D56" s="8" t="str">
        <f aca="false">'Initial char'!D56</f>
        <v/>
      </c>
      <c r="E56" s="27" t="str">
        <f aca="false">IF('Initial char'!O56="","",'Initial char'!O56)</f>
        <v/>
      </c>
      <c r="F56" s="28" t="str">
        <f aca="false">IF('Initial char'!N56="","",'Initial char'!N56)</f>
        <v/>
      </c>
      <c r="G56" s="19" t="str">
        <f aca="false">IF($E56="","",$E56+G$5)</f>
        <v/>
      </c>
      <c r="H56" s="19" t="str">
        <f aca="false">IF($E56="","",$E56+H$5)</f>
        <v/>
      </c>
      <c r="I56" s="19" t="str">
        <f aca="false">IF($E56="","",$E56+I$5)</f>
        <v/>
      </c>
      <c r="J56" s="19" t="str">
        <f aca="false">IF($E56="","",$E56+J$5)</f>
        <v/>
      </c>
      <c r="K56" s="19" t="str">
        <f aca="false">IF($E56="","",$E56+K$5)</f>
        <v/>
      </c>
      <c r="L56" s="23" t="str">
        <f aca="false">IF($F56="","",ROUND($H$3*$F56*G$5,0))</f>
        <v/>
      </c>
      <c r="M56" s="23" t="str">
        <f aca="false">IF($F56="","",ROUND($H$3*$F56*H$5,0))</f>
        <v/>
      </c>
      <c r="N56" s="23" t="str">
        <f aca="false">IF($F56="","",ROUND($H$3*$F56*I$5,0))</f>
        <v/>
      </c>
      <c r="O56" s="23" t="str">
        <f aca="false">IF($F56="","",ROUND($H$3*$F56*J$5,0))</f>
        <v/>
      </c>
      <c r="P56" s="23" t="str">
        <f aca="false">IF($F56="","",ROUND($H$3*$F56*K$5,0))</f>
        <v/>
      </c>
      <c r="Q56" s="4"/>
      <c r="R56" s="4"/>
      <c r="S56" s="4"/>
      <c r="T56" s="4"/>
    </row>
    <row r="57" customFormat="false" ht="15" hidden="false" customHeight="false" outlineLevel="0" collapsed="false">
      <c r="A57" s="8" t="str">
        <f aca="false">'Initial char'!A57</f>
        <v>Q3</v>
      </c>
      <c r="B57" s="8" t="n">
        <f aca="false">'Initial char'!B57</f>
        <v>2</v>
      </c>
      <c r="C57" s="8" t="n">
        <f aca="false">'Initial char'!C57</f>
        <v>2</v>
      </c>
      <c r="D57" s="8" t="str">
        <f aca="false">'Initial char'!D57</f>
        <v/>
      </c>
      <c r="E57" s="27" t="str">
        <f aca="false">IF('Initial char'!O57="","",'Initial char'!O57)</f>
        <v/>
      </c>
      <c r="F57" s="28" t="str">
        <f aca="false">IF('Initial char'!N57="","",'Initial char'!N57)</f>
        <v/>
      </c>
      <c r="G57" s="19" t="str">
        <f aca="false">IF($E57="","",$E57+G$5)</f>
        <v/>
      </c>
      <c r="H57" s="19" t="str">
        <f aca="false">IF($E57="","",$E57+H$5)</f>
        <v/>
      </c>
      <c r="I57" s="19" t="str">
        <f aca="false">IF($E57="","",$E57+I$5)</f>
        <v/>
      </c>
      <c r="J57" s="19" t="str">
        <f aca="false">IF($E57="","",$E57+J$5)</f>
        <v/>
      </c>
      <c r="K57" s="19" t="str">
        <f aca="false">IF($E57="","",$E57+K$5)</f>
        <v/>
      </c>
      <c r="L57" s="23" t="str">
        <f aca="false">IF($F57="","",ROUND($H$3*$F57*G$5,0))</f>
        <v/>
      </c>
      <c r="M57" s="23" t="str">
        <f aca="false">IF($F57="","",ROUND($H$3*$F57*H$5,0))</f>
        <v/>
      </c>
      <c r="N57" s="23" t="str">
        <f aca="false">IF($F57="","",ROUND($H$3*$F57*I$5,0))</f>
        <v/>
      </c>
      <c r="O57" s="23" t="str">
        <f aca="false">IF($F57="","",ROUND($H$3*$F57*J$5,0))</f>
        <v/>
      </c>
      <c r="P57" s="23" t="str">
        <f aca="false">IF($F57="","",ROUND($H$3*$F57*K$5,0))</f>
        <v/>
      </c>
      <c r="Q57" s="4"/>
      <c r="R57" s="4"/>
      <c r="S57" s="4"/>
      <c r="T57" s="4"/>
    </row>
    <row r="58" customFormat="false" ht="15" hidden="false" customHeight="false" outlineLevel="0" collapsed="false">
      <c r="A58" s="8" t="str">
        <f aca="false">'Initial char'!A58</f>
        <v>Q3</v>
      </c>
      <c r="B58" s="8" t="n">
        <f aca="false">'Initial char'!B58</f>
        <v>3</v>
      </c>
      <c r="C58" s="8" t="n">
        <f aca="false">'Initial char'!C58</f>
        <v>3</v>
      </c>
      <c r="D58" s="8" t="str">
        <f aca="false">'Initial char'!D58</f>
        <v/>
      </c>
      <c r="E58" s="27" t="str">
        <f aca="false">IF('Initial char'!O58="","",'Initial char'!O58)</f>
        <v/>
      </c>
      <c r="F58" s="28" t="str">
        <f aca="false">IF('Initial char'!N58="","",'Initial char'!N58)</f>
        <v/>
      </c>
      <c r="G58" s="19" t="str">
        <f aca="false">IF($E58="","",$E58+G$5)</f>
        <v/>
      </c>
      <c r="H58" s="19" t="str">
        <f aca="false">IF($E58="","",$E58+H$5)</f>
        <v/>
      </c>
      <c r="I58" s="19" t="str">
        <f aca="false">IF($E58="","",$E58+I$5)</f>
        <v/>
      </c>
      <c r="J58" s="19" t="str">
        <f aca="false">IF($E58="","",$E58+J$5)</f>
        <v/>
      </c>
      <c r="K58" s="19" t="str">
        <f aca="false">IF($E58="","",$E58+K$5)</f>
        <v/>
      </c>
      <c r="L58" s="23" t="str">
        <f aca="false">IF($F58="","",ROUND($H$3*$F58*G$5,0))</f>
        <v/>
      </c>
      <c r="M58" s="23" t="str">
        <f aca="false">IF($F58="","",ROUND($H$3*$F58*H$5,0))</f>
        <v/>
      </c>
      <c r="N58" s="23" t="str">
        <f aca="false">IF($F58="","",ROUND($H$3*$F58*I$5,0))</f>
        <v/>
      </c>
      <c r="O58" s="23" t="str">
        <f aca="false">IF($F58="","",ROUND($H$3*$F58*J$5,0))</f>
        <v/>
      </c>
      <c r="P58" s="23" t="str">
        <f aca="false">IF($F58="","",ROUND($H$3*$F58*K$5,0))</f>
        <v/>
      </c>
      <c r="Q58" s="4"/>
      <c r="R58" s="4"/>
      <c r="S58" s="4"/>
      <c r="T58" s="4"/>
    </row>
    <row r="59" customFormat="false" ht="15" hidden="false" customHeight="false" outlineLevel="0" collapsed="false">
      <c r="A59" s="8" t="str">
        <f aca="false">'Initial char'!A59</f>
        <v>Q3</v>
      </c>
      <c r="B59" s="8" t="n">
        <f aca="false">'Initial char'!B59</f>
        <v>4</v>
      </c>
      <c r="C59" s="8" t="n">
        <f aca="false">'Initial char'!C59</f>
        <v>4</v>
      </c>
      <c r="D59" s="8" t="str">
        <f aca="false">'Initial char'!D59</f>
        <v/>
      </c>
      <c r="E59" s="27" t="str">
        <f aca="false">IF('Initial char'!O59="","",'Initial char'!O59)</f>
        <v/>
      </c>
      <c r="F59" s="28" t="str">
        <f aca="false">IF('Initial char'!N59="","",'Initial char'!N59)</f>
        <v/>
      </c>
      <c r="G59" s="19" t="str">
        <f aca="false">IF($E59="","",$E59+G$5)</f>
        <v/>
      </c>
      <c r="H59" s="19" t="str">
        <f aca="false">IF($E59="","",$E59+H$5)</f>
        <v/>
      </c>
      <c r="I59" s="19" t="str">
        <f aca="false">IF($E59="","",$E59+I$5)</f>
        <v/>
      </c>
      <c r="J59" s="19" t="str">
        <f aca="false">IF($E59="","",$E59+J$5)</f>
        <v/>
      </c>
      <c r="K59" s="19" t="str">
        <f aca="false">IF($E59="","",$E59+K$5)</f>
        <v/>
      </c>
      <c r="L59" s="23" t="str">
        <f aca="false">IF($F59="","",ROUND($H$3*$F59*G$5,0))</f>
        <v/>
      </c>
      <c r="M59" s="23" t="str">
        <f aca="false">IF($F59="","",ROUND($H$3*$F59*H$5,0))</f>
        <v/>
      </c>
      <c r="N59" s="23" t="str">
        <f aca="false">IF($F59="","",ROUND($H$3*$F59*I$5,0))</f>
        <v/>
      </c>
      <c r="O59" s="23" t="str">
        <f aca="false">IF($F59="","",ROUND($H$3*$F59*J$5,0))</f>
        <v/>
      </c>
      <c r="P59" s="23" t="str">
        <f aca="false">IF($F59="","",ROUND($H$3*$F59*K$5,0))</f>
        <v/>
      </c>
      <c r="Q59" s="4"/>
      <c r="R59" s="4"/>
      <c r="S59" s="4"/>
      <c r="T59" s="4"/>
    </row>
    <row r="60" customFormat="false" ht="15" hidden="false" customHeight="false" outlineLevel="0" collapsed="false">
      <c r="A60" s="8" t="str">
        <f aca="false">'Initial char'!A60</f>
        <v>Q3</v>
      </c>
      <c r="B60" s="8" t="n">
        <f aca="false">'Initial char'!B60</f>
        <v>5</v>
      </c>
      <c r="C60" s="8" t="n">
        <f aca="false">'Initial char'!C60</f>
        <v>5</v>
      </c>
      <c r="D60" s="8" t="str">
        <f aca="false">'Initial char'!D60</f>
        <v/>
      </c>
      <c r="E60" s="27" t="str">
        <f aca="false">IF('Initial char'!O60="","",'Initial char'!O60)</f>
        <v/>
      </c>
      <c r="F60" s="28" t="str">
        <f aca="false">IF('Initial char'!N60="","",'Initial char'!N60)</f>
        <v/>
      </c>
      <c r="G60" s="19" t="str">
        <f aca="false">IF($E60="","",$E60+G$5)</f>
        <v/>
      </c>
      <c r="H60" s="19" t="str">
        <f aca="false">IF($E60="","",$E60+H$5)</f>
        <v/>
      </c>
      <c r="I60" s="19" t="str">
        <f aca="false">IF($E60="","",$E60+I$5)</f>
        <v/>
      </c>
      <c r="J60" s="19" t="str">
        <f aca="false">IF($E60="","",$E60+J$5)</f>
        <v/>
      </c>
      <c r="K60" s="19" t="str">
        <f aca="false">IF($E60="","",$E60+K$5)</f>
        <v/>
      </c>
      <c r="L60" s="23" t="str">
        <f aca="false">IF($F60="","",ROUND($H$3*$F60*G$5,0))</f>
        <v/>
      </c>
      <c r="M60" s="23" t="str">
        <f aca="false">IF($F60="","",ROUND($H$3*$F60*H$5,0))</f>
        <v/>
      </c>
      <c r="N60" s="23" t="str">
        <f aca="false">IF($F60="","",ROUND($H$3*$F60*I$5,0))</f>
        <v/>
      </c>
      <c r="O60" s="23" t="str">
        <f aca="false">IF($F60="","",ROUND($H$3*$F60*J$5,0))</f>
        <v/>
      </c>
      <c r="P60" s="23" t="str">
        <f aca="false">IF($F60="","",ROUND($H$3*$F60*K$5,0))</f>
        <v/>
      </c>
      <c r="Q60" s="4"/>
      <c r="R60" s="4"/>
      <c r="S60" s="4"/>
      <c r="T60" s="4"/>
    </row>
    <row r="61" customFormat="false" ht="15" hidden="false" customHeight="false" outlineLevel="0" collapsed="false">
      <c r="A61" s="8" t="str">
        <f aca="false">'Initial char'!A61</f>
        <v>Q3</v>
      </c>
      <c r="B61" s="8" t="n">
        <f aca="false">'Initial char'!B61</f>
        <v>6</v>
      </c>
      <c r="C61" s="8" t="n">
        <f aca="false">'Initial char'!C61</f>
        <v>6</v>
      </c>
      <c r="D61" s="8" t="str">
        <f aca="false">'Initial char'!D61</f>
        <v/>
      </c>
      <c r="E61" s="27" t="str">
        <f aca="false">IF('Initial char'!O61="","",'Initial char'!O61)</f>
        <v/>
      </c>
      <c r="F61" s="28" t="str">
        <f aca="false">IF('Initial char'!N61="","",'Initial char'!N61)</f>
        <v/>
      </c>
      <c r="G61" s="19" t="str">
        <f aca="false">IF($E61="","",$E61+G$5)</f>
        <v/>
      </c>
      <c r="H61" s="19" t="str">
        <f aca="false">IF($E61="","",$E61+H$5)</f>
        <v/>
      </c>
      <c r="I61" s="19" t="str">
        <f aca="false">IF($E61="","",$E61+I$5)</f>
        <v/>
      </c>
      <c r="J61" s="19" t="str">
        <f aca="false">IF($E61="","",$E61+J$5)</f>
        <v/>
      </c>
      <c r="K61" s="19" t="str">
        <f aca="false">IF($E61="","",$E61+K$5)</f>
        <v/>
      </c>
      <c r="L61" s="23" t="str">
        <f aca="false">IF($F61="","",ROUND($H$3*$F61*G$5,0))</f>
        <v/>
      </c>
      <c r="M61" s="23" t="str">
        <f aca="false">IF($F61="","",ROUND($H$3*$F61*H$5,0))</f>
        <v/>
      </c>
      <c r="N61" s="23" t="str">
        <f aca="false">IF($F61="","",ROUND($H$3*$F61*I$5,0))</f>
        <v/>
      </c>
      <c r="O61" s="23" t="str">
        <f aca="false">IF($F61="","",ROUND($H$3*$F61*J$5,0))</f>
        <v/>
      </c>
      <c r="P61" s="23" t="str">
        <f aca="false">IF($F61="","",ROUND($H$3*$F61*K$5,0))</f>
        <v/>
      </c>
      <c r="Q61" s="4"/>
      <c r="R61" s="4"/>
      <c r="S61" s="4"/>
      <c r="T61" s="4"/>
    </row>
    <row r="62" customFormat="false" ht="15" hidden="false" customHeight="false" outlineLevel="0" collapsed="false">
      <c r="A62" s="8" t="str">
        <f aca="false">'Initial char'!A62</f>
        <v>Q3</v>
      </c>
      <c r="B62" s="8" t="n">
        <f aca="false">'Initial char'!B62</f>
        <v>7</v>
      </c>
      <c r="C62" s="8" t="n">
        <f aca="false">'Initial char'!C62</f>
        <v>7</v>
      </c>
      <c r="D62" s="8" t="str">
        <f aca="false">'Initial char'!D62</f>
        <v/>
      </c>
      <c r="E62" s="27" t="str">
        <f aca="false">IF('Initial char'!O62="","",'Initial char'!O62)</f>
        <v/>
      </c>
      <c r="F62" s="28" t="str">
        <f aca="false">IF('Initial char'!N62="","",'Initial char'!N62)</f>
        <v/>
      </c>
      <c r="G62" s="19" t="str">
        <f aca="false">IF($E62="","",$E62+G$5)</f>
        <v/>
      </c>
      <c r="H62" s="19" t="str">
        <f aca="false">IF($E62="","",$E62+H$5)</f>
        <v/>
      </c>
      <c r="I62" s="19" t="str">
        <f aca="false">IF($E62="","",$E62+I$5)</f>
        <v/>
      </c>
      <c r="J62" s="19" t="str">
        <f aca="false">IF($E62="","",$E62+J$5)</f>
        <v/>
      </c>
      <c r="K62" s="19" t="str">
        <f aca="false">IF($E62="","",$E62+K$5)</f>
        <v/>
      </c>
      <c r="L62" s="23" t="str">
        <f aca="false">IF($F62="","",ROUND($H$3*$F62*G$5,0))</f>
        <v/>
      </c>
      <c r="M62" s="23" t="str">
        <f aca="false">IF($F62="","",ROUND($H$3*$F62*H$5,0))</f>
        <v/>
      </c>
      <c r="N62" s="23" t="str">
        <f aca="false">IF($F62="","",ROUND($H$3*$F62*I$5,0))</f>
        <v/>
      </c>
      <c r="O62" s="23" t="str">
        <f aca="false">IF($F62="","",ROUND($H$3*$F62*J$5,0))</f>
        <v/>
      </c>
      <c r="P62" s="23" t="str">
        <f aca="false">IF($F62="","",ROUND($H$3*$F62*K$5,0))</f>
        <v/>
      </c>
      <c r="Q62" s="4"/>
      <c r="R62" s="4"/>
      <c r="S62" s="4"/>
      <c r="T62" s="4"/>
    </row>
    <row r="63" customFormat="false" ht="15" hidden="false" customHeight="false" outlineLevel="0" collapsed="false">
      <c r="A63" s="8" t="str">
        <f aca="false">'Initial char'!A63</f>
        <v>Q3</v>
      </c>
      <c r="B63" s="8" t="n">
        <f aca="false">'Initial char'!B63</f>
        <v>8</v>
      </c>
      <c r="C63" s="8" t="n">
        <f aca="false">'Initial char'!C63</f>
        <v>8</v>
      </c>
      <c r="D63" s="8" t="str">
        <f aca="false">'Initial char'!D63</f>
        <v/>
      </c>
      <c r="E63" s="27" t="str">
        <f aca="false">IF('Initial char'!O63="","",'Initial char'!O63)</f>
        <v/>
      </c>
      <c r="F63" s="28" t="str">
        <f aca="false">IF('Initial char'!N63="","",'Initial char'!N63)</f>
        <v/>
      </c>
      <c r="G63" s="19" t="str">
        <f aca="false">IF($E63="","",$E63+G$5)</f>
        <v/>
      </c>
      <c r="H63" s="19" t="str">
        <f aca="false">IF($E63="","",$E63+H$5)</f>
        <v/>
      </c>
      <c r="I63" s="19" t="str">
        <f aca="false">IF($E63="","",$E63+I$5)</f>
        <v/>
      </c>
      <c r="J63" s="19" t="str">
        <f aca="false">IF($E63="","",$E63+J$5)</f>
        <v/>
      </c>
      <c r="K63" s="19" t="str">
        <f aca="false">IF($E63="","",$E63+K$5)</f>
        <v/>
      </c>
      <c r="L63" s="23" t="str">
        <f aca="false">IF($F63="","",ROUND($H$3*$F63*G$5,0))</f>
        <v/>
      </c>
      <c r="M63" s="23" t="str">
        <f aca="false">IF($F63="","",ROUND($H$3*$F63*H$5,0))</f>
        <v/>
      </c>
      <c r="N63" s="23" t="str">
        <f aca="false">IF($F63="","",ROUND($H$3*$F63*I$5,0))</f>
        <v/>
      </c>
      <c r="O63" s="23" t="str">
        <f aca="false">IF($F63="","",ROUND($H$3*$F63*J$5,0))</f>
        <v/>
      </c>
      <c r="P63" s="23" t="str">
        <f aca="false">IF($F63="","",ROUND($H$3*$F63*K$5,0))</f>
        <v/>
      </c>
      <c r="Q63" s="4"/>
      <c r="R63" s="4"/>
      <c r="S63" s="4"/>
      <c r="T63" s="4"/>
    </row>
    <row r="64" customFormat="false" ht="15" hidden="false" customHeight="false" outlineLevel="0" collapsed="false">
      <c r="A64" s="8" t="str">
        <f aca="false">'Initial char'!A64</f>
        <v>Q3</v>
      </c>
      <c r="B64" s="8" t="n">
        <f aca="false">'Initial char'!B64</f>
        <v>9</v>
      </c>
      <c r="C64" s="8" t="n">
        <f aca="false">'Initial char'!C64</f>
        <v>9</v>
      </c>
      <c r="D64" s="8" t="str">
        <f aca="false">'Initial char'!D64</f>
        <v/>
      </c>
      <c r="E64" s="27" t="str">
        <f aca="false">IF('Initial char'!O64="","",'Initial char'!O64)</f>
        <v/>
      </c>
      <c r="F64" s="28" t="str">
        <f aca="false">IF('Initial char'!N64="","",'Initial char'!N64)</f>
        <v/>
      </c>
      <c r="G64" s="19" t="str">
        <f aca="false">IF($E64="","",$E64+G$5)</f>
        <v/>
      </c>
      <c r="H64" s="19" t="str">
        <f aca="false">IF($E64="","",$E64+H$5)</f>
        <v/>
      </c>
      <c r="I64" s="19" t="str">
        <f aca="false">IF($E64="","",$E64+I$5)</f>
        <v/>
      </c>
      <c r="J64" s="19" t="str">
        <f aca="false">IF($E64="","",$E64+J$5)</f>
        <v/>
      </c>
      <c r="K64" s="19" t="str">
        <f aca="false">IF($E64="","",$E64+K$5)</f>
        <v/>
      </c>
      <c r="L64" s="23" t="str">
        <f aca="false">IF($F64="","",ROUND($H$3*$F64*G$5,0))</f>
        <v/>
      </c>
      <c r="M64" s="23" t="str">
        <f aca="false">IF($F64="","",ROUND($H$3*$F64*H$5,0))</f>
        <v/>
      </c>
      <c r="N64" s="23" t="str">
        <f aca="false">IF($F64="","",ROUND($H$3*$F64*I$5,0))</f>
        <v/>
      </c>
      <c r="O64" s="23" t="str">
        <f aca="false">IF($F64="","",ROUND($H$3*$F64*J$5,0))</f>
        <v/>
      </c>
      <c r="P64" s="23" t="str">
        <f aca="false">IF($F64="","",ROUND($H$3*$F64*K$5,0))</f>
        <v/>
      </c>
      <c r="Q64" s="4"/>
      <c r="R64" s="4"/>
      <c r="S64" s="4"/>
      <c r="T64" s="4"/>
    </row>
    <row r="65" customFormat="false" ht="15" hidden="false" customHeight="false" outlineLevel="0" collapsed="false">
      <c r="A65" s="8" t="str">
        <f aca="false">'Initial char'!A65</f>
        <v>Q3</v>
      </c>
      <c r="B65" s="8" t="n">
        <f aca="false">'Initial char'!B65</f>
        <v>10</v>
      </c>
      <c r="C65" s="8" t="n">
        <f aca="false">'Initial char'!C65</f>
        <v>10</v>
      </c>
      <c r="D65" s="8" t="str">
        <f aca="false">'Initial char'!D65</f>
        <v/>
      </c>
      <c r="E65" s="27" t="str">
        <f aca="false">IF('Initial char'!O65="","",'Initial char'!O65)</f>
        <v/>
      </c>
      <c r="F65" s="28" t="str">
        <f aca="false">IF('Initial char'!N65="","",'Initial char'!N65)</f>
        <v/>
      </c>
      <c r="G65" s="19" t="str">
        <f aca="false">IF($E65="","",$E65+G$5)</f>
        <v/>
      </c>
      <c r="H65" s="19" t="str">
        <f aca="false">IF($E65="","",$E65+H$5)</f>
        <v/>
      </c>
      <c r="I65" s="19" t="str">
        <f aca="false">IF($E65="","",$E65+I$5)</f>
        <v/>
      </c>
      <c r="J65" s="19" t="str">
        <f aca="false">IF($E65="","",$E65+J$5)</f>
        <v/>
      </c>
      <c r="K65" s="19" t="str">
        <f aca="false">IF($E65="","",$E65+K$5)</f>
        <v/>
      </c>
      <c r="L65" s="23" t="str">
        <f aca="false">IF($F65="","",ROUND($H$3*$F65*G$5,0))</f>
        <v/>
      </c>
      <c r="M65" s="23" t="str">
        <f aca="false">IF($F65="","",ROUND($H$3*$F65*H$5,0))</f>
        <v/>
      </c>
      <c r="N65" s="23" t="str">
        <f aca="false">IF($F65="","",ROUND($H$3*$F65*I$5,0))</f>
        <v/>
      </c>
      <c r="O65" s="23" t="str">
        <f aca="false">IF($F65="","",ROUND($H$3*$F65*J$5,0))</f>
        <v/>
      </c>
      <c r="P65" s="23" t="str">
        <f aca="false">IF($F65="","",ROUND($H$3*$F65*K$5,0))</f>
        <v/>
      </c>
      <c r="Q65" s="4"/>
      <c r="R65" s="4"/>
      <c r="S65" s="4"/>
      <c r="T65" s="4"/>
    </row>
    <row r="66" customFormat="false" ht="15" hidden="false" customHeight="false" outlineLevel="0" collapsed="false">
      <c r="A66" s="8" t="str">
        <f aca="false">'Initial char'!A66</f>
        <v>Q3</v>
      </c>
      <c r="B66" s="8" t="n">
        <f aca="false">'Initial char'!B66</f>
        <v>11</v>
      </c>
      <c r="C66" s="8" t="n">
        <f aca="false">'Initial char'!C66</f>
        <v>11</v>
      </c>
      <c r="D66" s="8" t="str">
        <f aca="false">'Initial char'!D66</f>
        <v/>
      </c>
      <c r="E66" s="27" t="str">
        <f aca="false">IF('Initial char'!O66="","",'Initial char'!O66)</f>
        <v/>
      </c>
      <c r="F66" s="28" t="str">
        <f aca="false">IF('Initial char'!N66="","",'Initial char'!N66)</f>
        <v/>
      </c>
      <c r="G66" s="19" t="str">
        <f aca="false">IF($E66="","",$E66+G$5)</f>
        <v/>
      </c>
      <c r="H66" s="19" t="str">
        <f aca="false">IF($E66="","",$E66+H$5)</f>
        <v/>
      </c>
      <c r="I66" s="19" t="str">
        <f aca="false">IF($E66="","",$E66+I$5)</f>
        <v/>
      </c>
      <c r="J66" s="19" t="str">
        <f aca="false">IF($E66="","",$E66+J$5)</f>
        <v/>
      </c>
      <c r="K66" s="19" t="str">
        <f aca="false">IF($E66="","",$E66+K$5)</f>
        <v/>
      </c>
      <c r="L66" s="23" t="str">
        <f aca="false">IF($F66="","",ROUND($H$3*$F66*G$5,0))</f>
        <v/>
      </c>
      <c r="M66" s="23" t="str">
        <f aca="false">IF($F66="","",ROUND($H$3*$F66*H$5,0))</f>
        <v/>
      </c>
      <c r="N66" s="23" t="str">
        <f aca="false">IF($F66="","",ROUND($H$3*$F66*I$5,0))</f>
        <v/>
      </c>
      <c r="O66" s="23" t="str">
        <f aca="false">IF($F66="","",ROUND($H$3*$F66*J$5,0))</f>
        <v/>
      </c>
      <c r="P66" s="23" t="str">
        <f aca="false">IF($F66="","",ROUND($H$3*$F66*K$5,0))</f>
        <v/>
      </c>
      <c r="Q66" s="4"/>
      <c r="R66" s="4"/>
      <c r="S66" s="4"/>
      <c r="T66" s="4"/>
    </row>
    <row r="67" customFormat="false" ht="15" hidden="false" customHeight="false" outlineLevel="0" collapsed="false">
      <c r="A67" s="8" t="str">
        <f aca="false">'Initial char'!A67</f>
        <v>Q3</v>
      </c>
      <c r="B67" s="8" t="n">
        <f aca="false">'Initial char'!B67</f>
        <v>12</v>
      </c>
      <c r="C67" s="8" t="n">
        <f aca="false">'Initial char'!C67</f>
        <v>12</v>
      </c>
      <c r="D67" s="8" t="str">
        <f aca="false">'Initial char'!D67</f>
        <v/>
      </c>
      <c r="E67" s="27" t="str">
        <f aca="false">IF('Initial char'!O67="","",'Initial char'!O67)</f>
        <v/>
      </c>
      <c r="F67" s="28" t="str">
        <f aca="false">IF('Initial char'!N67="","",'Initial char'!N67)</f>
        <v/>
      </c>
      <c r="G67" s="19" t="str">
        <f aca="false">IF($E67="","",$E67+G$5)</f>
        <v/>
      </c>
      <c r="H67" s="19" t="str">
        <f aca="false">IF($E67="","",$E67+H$5)</f>
        <v/>
      </c>
      <c r="I67" s="19" t="str">
        <f aca="false">IF($E67="","",$E67+I$5)</f>
        <v/>
      </c>
      <c r="J67" s="19" t="str">
        <f aca="false">IF($E67="","",$E67+J$5)</f>
        <v/>
      </c>
      <c r="K67" s="19" t="str">
        <f aca="false">IF($E67="","",$E67+K$5)</f>
        <v/>
      </c>
      <c r="L67" s="23" t="str">
        <f aca="false">IF($F67="","",ROUND($H$3*$F67*G$5,0))</f>
        <v/>
      </c>
      <c r="M67" s="23" t="str">
        <f aca="false">IF($F67="","",ROUND($H$3*$F67*H$5,0))</f>
        <v/>
      </c>
      <c r="N67" s="23" t="str">
        <f aca="false">IF($F67="","",ROUND($H$3*$F67*I$5,0))</f>
        <v/>
      </c>
      <c r="O67" s="23" t="str">
        <f aca="false">IF($F67="","",ROUND($H$3*$F67*J$5,0))</f>
        <v/>
      </c>
      <c r="P67" s="23" t="str">
        <f aca="false">IF($F67="","",ROUND($H$3*$F67*K$5,0))</f>
        <v/>
      </c>
      <c r="Q67" s="4"/>
      <c r="R67" s="4"/>
      <c r="S67" s="4"/>
      <c r="T67" s="4"/>
    </row>
    <row r="68" customFormat="false" ht="15" hidden="false" customHeight="false" outlineLevel="0" collapsed="false">
      <c r="A68" s="8" t="str">
        <f aca="false">'Initial char'!A68</f>
        <v>Q3</v>
      </c>
      <c r="B68" s="8" t="n">
        <f aca="false">'Initial char'!B68</f>
        <v>13</v>
      </c>
      <c r="C68" s="8" t="n">
        <f aca="false">'Initial char'!C68</f>
        <v>13</v>
      </c>
      <c r="D68" s="8" t="str">
        <f aca="false">'Initial char'!D68</f>
        <v/>
      </c>
      <c r="E68" s="27" t="str">
        <f aca="false">IF('Initial char'!O68="","",'Initial char'!O68)</f>
        <v/>
      </c>
      <c r="F68" s="28" t="str">
        <f aca="false">IF('Initial char'!N68="","",'Initial char'!N68)</f>
        <v/>
      </c>
      <c r="G68" s="19" t="str">
        <f aca="false">IF($E68="","",$E68+G$5)</f>
        <v/>
      </c>
      <c r="H68" s="19" t="str">
        <f aca="false">IF($E68="","",$E68+H$5)</f>
        <v/>
      </c>
      <c r="I68" s="19" t="str">
        <f aca="false">IF($E68="","",$E68+I$5)</f>
        <v/>
      </c>
      <c r="J68" s="19" t="str">
        <f aca="false">IF($E68="","",$E68+J$5)</f>
        <v/>
      </c>
      <c r="K68" s="19" t="str">
        <f aca="false">IF($E68="","",$E68+K$5)</f>
        <v/>
      </c>
      <c r="L68" s="23" t="str">
        <f aca="false">IF($F68="","",ROUND($H$3*$F68*G$5,0))</f>
        <v/>
      </c>
      <c r="M68" s="23" t="str">
        <f aca="false">IF($F68="","",ROUND($H$3*$F68*H$5,0))</f>
        <v/>
      </c>
      <c r="N68" s="23" t="str">
        <f aca="false">IF($F68="","",ROUND($H$3*$F68*I$5,0))</f>
        <v/>
      </c>
      <c r="O68" s="23" t="str">
        <f aca="false">IF($F68="","",ROUND($H$3*$F68*J$5,0))</f>
        <v/>
      </c>
      <c r="P68" s="23" t="str">
        <f aca="false">IF($F68="","",ROUND($H$3*$F68*K$5,0))</f>
        <v/>
      </c>
      <c r="Q68" s="4"/>
      <c r="R68" s="4"/>
      <c r="S68" s="4"/>
      <c r="T68" s="4"/>
    </row>
    <row r="69" customFormat="false" ht="15" hidden="false" customHeight="false" outlineLevel="0" collapsed="false">
      <c r="A69" s="8" t="str">
        <f aca="false">'Initial char'!A69</f>
        <v>Q3</v>
      </c>
      <c r="B69" s="8" t="n">
        <f aca="false">'Initial char'!B69</f>
        <v>14</v>
      </c>
      <c r="C69" s="8" t="n">
        <f aca="false">'Initial char'!C69</f>
        <v>14</v>
      </c>
      <c r="D69" s="8" t="str">
        <f aca="false">'Initial char'!D69</f>
        <v/>
      </c>
      <c r="E69" s="27" t="str">
        <f aca="false">IF('Initial char'!O69="","",'Initial char'!O69)</f>
        <v/>
      </c>
      <c r="F69" s="28" t="str">
        <f aca="false">IF('Initial char'!N69="","",'Initial char'!N69)</f>
        <v/>
      </c>
      <c r="G69" s="19" t="str">
        <f aca="false">IF($E69="","",$E69+G$5)</f>
        <v/>
      </c>
      <c r="H69" s="19" t="str">
        <f aca="false">IF($E69="","",$E69+H$5)</f>
        <v/>
      </c>
      <c r="I69" s="19" t="str">
        <f aca="false">IF($E69="","",$E69+I$5)</f>
        <v/>
      </c>
      <c r="J69" s="19" t="str">
        <f aca="false">IF($E69="","",$E69+J$5)</f>
        <v/>
      </c>
      <c r="K69" s="19" t="str">
        <f aca="false">IF($E69="","",$E69+K$5)</f>
        <v/>
      </c>
      <c r="L69" s="23" t="str">
        <f aca="false">IF($F69="","",ROUND($H$3*$F69*G$5,0))</f>
        <v/>
      </c>
      <c r="M69" s="23" t="str">
        <f aca="false">IF($F69="","",ROUND($H$3*$F69*H$5,0))</f>
        <v/>
      </c>
      <c r="N69" s="23" t="str">
        <f aca="false">IF($F69="","",ROUND($H$3*$F69*I$5,0))</f>
        <v/>
      </c>
      <c r="O69" s="23" t="str">
        <f aca="false">IF($F69="","",ROUND($H$3*$F69*J$5,0))</f>
        <v/>
      </c>
      <c r="P69" s="23" t="str">
        <f aca="false">IF($F69="","",ROUND($H$3*$F69*K$5,0))</f>
        <v/>
      </c>
      <c r="Q69" s="4"/>
      <c r="R69" s="4"/>
      <c r="S69" s="4"/>
      <c r="T69" s="4"/>
    </row>
    <row r="70" customFormat="false" ht="15" hidden="false" customHeight="false" outlineLevel="0" collapsed="false">
      <c r="A70" s="8" t="str">
        <f aca="false">'Initial char'!A70</f>
        <v>Q3</v>
      </c>
      <c r="B70" s="8" t="n">
        <f aca="false">'Initial char'!B70</f>
        <v>15</v>
      </c>
      <c r="C70" s="8" t="n">
        <f aca="false">'Initial char'!C70</f>
        <v>15</v>
      </c>
      <c r="D70" s="8" t="str">
        <f aca="false">'Initial char'!D70</f>
        <v/>
      </c>
      <c r="E70" s="27" t="str">
        <f aca="false">IF('Initial char'!O70="","",'Initial char'!O70)</f>
        <v/>
      </c>
      <c r="F70" s="28" t="str">
        <f aca="false">IF('Initial char'!N70="","",'Initial char'!N70)</f>
        <v/>
      </c>
      <c r="G70" s="19" t="str">
        <f aca="false">IF($E70="","",$E70+G$5)</f>
        <v/>
      </c>
      <c r="H70" s="19" t="str">
        <f aca="false">IF($E70="","",$E70+H$5)</f>
        <v/>
      </c>
      <c r="I70" s="19" t="str">
        <f aca="false">IF($E70="","",$E70+I$5)</f>
        <v/>
      </c>
      <c r="J70" s="19" t="str">
        <f aca="false">IF($E70="","",$E70+J$5)</f>
        <v/>
      </c>
      <c r="K70" s="19" t="str">
        <f aca="false">IF($E70="","",$E70+K$5)</f>
        <v/>
      </c>
      <c r="L70" s="23" t="str">
        <f aca="false">IF($F70="","",ROUND($H$3*$F70*G$5,0))</f>
        <v/>
      </c>
      <c r="M70" s="23" t="str">
        <f aca="false">IF($F70="","",ROUND($H$3*$F70*H$5,0))</f>
        <v/>
      </c>
      <c r="N70" s="23" t="str">
        <f aca="false">IF($F70="","",ROUND($H$3*$F70*I$5,0))</f>
        <v/>
      </c>
      <c r="O70" s="23" t="str">
        <f aca="false">IF($F70="","",ROUND($H$3*$F70*J$5,0))</f>
        <v/>
      </c>
      <c r="P70" s="23" t="str">
        <f aca="false">IF($F70="","",ROUND($H$3*$F70*K$5,0))</f>
        <v/>
      </c>
      <c r="Q70" s="4"/>
      <c r="R70" s="4"/>
      <c r="S70" s="4"/>
      <c r="T70" s="4"/>
    </row>
    <row r="71" customFormat="false" ht="15" hidden="false" customHeight="false" outlineLevel="0" collapsed="false">
      <c r="A71" s="8" t="str">
        <f aca="false">'Initial char'!A71</f>
        <v>Q3</v>
      </c>
      <c r="B71" s="8" t="n">
        <f aca="false">'Initial char'!B71</f>
        <v>16</v>
      </c>
      <c r="C71" s="8" t="n">
        <f aca="false">'Initial char'!C71</f>
        <v>16</v>
      </c>
      <c r="D71" s="8" t="str">
        <f aca="false">'Initial char'!D71</f>
        <v/>
      </c>
      <c r="E71" s="27" t="str">
        <f aca="false">IF('Initial char'!O71="","",'Initial char'!O71)</f>
        <v/>
      </c>
      <c r="F71" s="28" t="str">
        <f aca="false">IF('Initial char'!N71="","",'Initial char'!N71)</f>
        <v/>
      </c>
      <c r="G71" s="19" t="str">
        <f aca="false">IF($E71="","",$E71+G$5)</f>
        <v/>
      </c>
      <c r="H71" s="19" t="str">
        <f aca="false">IF($E71="","",$E71+H$5)</f>
        <v/>
      </c>
      <c r="I71" s="19" t="str">
        <f aca="false">IF($E71="","",$E71+I$5)</f>
        <v/>
      </c>
      <c r="J71" s="19" t="str">
        <f aca="false">IF($E71="","",$E71+J$5)</f>
        <v/>
      </c>
      <c r="K71" s="19" t="str">
        <f aca="false">IF($E71="","",$E71+K$5)</f>
        <v/>
      </c>
      <c r="L71" s="23" t="str">
        <f aca="false">IF($F71="","",ROUND($H$3*$F71*G$5,0))</f>
        <v/>
      </c>
      <c r="M71" s="23" t="str">
        <f aca="false">IF($F71="","",ROUND($H$3*$F71*H$5,0))</f>
        <v/>
      </c>
      <c r="N71" s="23" t="str">
        <f aca="false">IF($F71="","",ROUND($H$3*$F71*I$5,0))</f>
        <v/>
      </c>
      <c r="O71" s="23" t="str">
        <f aca="false">IF($F71="","",ROUND($H$3*$F71*J$5,0))</f>
        <v/>
      </c>
      <c r="P71" s="23" t="str">
        <f aca="false">IF($F71="","",ROUND($H$3*$F71*K$5,0))</f>
        <v/>
      </c>
      <c r="Q71" s="4"/>
      <c r="R71" s="4"/>
      <c r="S71" s="4"/>
      <c r="T71" s="4"/>
    </row>
    <row r="72" customFormat="false" ht="15" hidden="false" customHeight="false" outlineLevel="0" collapsed="false">
      <c r="A72" s="8" t="str">
        <f aca="false">'Initial char'!A72</f>
        <v>Q3</v>
      </c>
      <c r="B72" s="8" t="n">
        <f aca="false">'Initial char'!B72</f>
        <v>23</v>
      </c>
      <c r="C72" s="8" t="n">
        <f aca="false">'Initial char'!C72</f>
        <v>23</v>
      </c>
      <c r="D72" s="8" t="str">
        <f aca="false">'Initial char'!D72</f>
        <v/>
      </c>
      <c r="E72" s="27" t="str">
        <f aca="false">IF('Initial char'!O72="","",'Initial char'!O72)</f>
        <v/>
      </c>
      <c r="F72" s="28" t="str">
        <f aca="false">IF('Initial char'!N72="","",'Initial char'!N72)</f>
        <v/>
      </c>
      <c r="G72" s="19" t="str">
        <f aca="false">IF($E72="","",$E72+G$5)</f>
        <v/>
      </c>
      <c r="H72" s="19" t="str">
        <f aca="false">IF($E72="","",$E72+H$5)</f>
        <v/>
      </c>
      <c r="I72" s="19" t="str">
        <f aca="false">IF($E72="","",$E72+I$5)</f>
        <v/>
      </c>
      <c r="J72" s="19" t="str">
        <f aca="false">IF($E72="","",$E72+J$5)</f>
        <v/>
      </c>
      <c r="K72" s="19" t="str">
        <f aca="false">IF($E72="","",$E72+K$5)</f>
        <v/>
      </c>
      <c r="L72" s="23" t="str">
        <f aca="false">IF($F72="","",ROUND($H$3*$F72*G$5,0))</f>
        <v/>
      </c>
      <c r="M72" s="23" t="str">
        <f aca="false">IF($F72="","",ROUND($H$3*$F72*H$5,0))</f>
        <v/>
      </c>
      <c r="N72" s="23" t="str">
        <f aca="false">IF($F72="","",ROUND($H$3*$F72*I$5,0))</f>
        <v/>
      </c>
      <c r="O72" s="23" t="str">
        <f aca="false">IF($F72="","",ROUND($H$3*$F72*J$5,0))</f>
        <v/>
      </c>
      <c r="P72" s="23" t="str">
        <f aca="false">IF($F72="","",ROUND($H$3*$F72*K$5,0))</f>
        <v/>
      </c>
      <c r="Q72" s="4"/>
      <c r="R72" s="4"/>
      <c r="S72" s="4"/>
      <c r="T72" s="4"/>
    </row>
    <row r="73" customFormat="false" ht="15" hidden="false" customHeight="false" outlineLevel="0" collapsed="false">
      <c r="A73" s="8" t="str">
        <f aca="false">'Initial char'!A73</f>
        <v>Q3</v>
      </c>
      <c r="B73" s="8" t="n">
        <f aca="false">'Initial char'!B73</f>
        <v>24</v>
      </c>
      <c r="C73" s="8" t="n">
        <f aca="false">'Initial char'!C73</f>
        <v>24</v>
      </c>
      <c r="D73" s="8" t="str">
        <f aca="false">'Initial char'!D73</f>
        <v/>
      </c>
      <c r="E73" s="27" t="str">
        <f aca="false">IF('Initial char'!O73="","",'Initial char'!O73)</f>
        <v/>
      </c>
      <c r="F73" s="28" t="str">
        <f aca="false">IF('Initial char'!N73="","",'Initial char'!N73)</f>
        <v/>
      </c>
      <c r="G73" s="19" t="str">
        <f aca="false">IF($E73="","",$E73+G$5)</f>
        <v/>
      </c>
      <c r="H73" s="19" t="str">
        <f aca="false">IF($E73="","",$E73+H$5)</f>
        <v/>
      </c>
      <c r="I73" s="19" t="str">
        <f aca="false">IF($E73="","",$E73+I$5)</f>
        <v/>
      </c>
      <c r="J73" s="19" t="str">
        <f aca="false">IF($E73="","",$E73+J$5)</f>
        <v/>
      </c>
      <c r="K73" s="19" t="str">
        <f aca="false">IF($E73="","",$E73+K$5)</f>
        <v/>
      </c>
      <c r="L73" s="23" t="str">
        <f aca="false">IF($F73="","",ROUND($H$3*$F73*G$5,0))</f>
        <v/>
      </c>
      <c r="M73" s="23" t="str">
        <f aca="false">IF($F73="","",ROUND($H$3*$F73*H$5,0))</f>
        <v/>
      </c>
      <c r="N73" s="23" t="str">
        <f aca="false">IF($F73="","",ROUND($H$3*$F73*I$5,0))</f>
        <v/>
      </c>
      <c r="O73" s="23" t="str">
        <f aca="false">IF($F73="","",ROUND($H$3*$F73*J$5,0))</f>
        <v/>
      </c>
      <c r="P73" s="23" t="str">
        <f aca="false">IF($F73="","",ROUND($H$3*$F73*K$5,0))</f>
        <v/>
      </c>
      <c r="Q73" s="4"/>
      <c r="R73" s="4"/>
      <c r="S73" s="4"/>
      <c r="T73" s="4"/>
    </row>
    <row r="74" customFormat="false" ht="15" hidden="false" customHeight="false" outlineLevel="0" collapsed="false">
      <c r="A74" s="8" t="str">
        <f aca="false">'Initial char'!A74</f>
        <v>Q3</v>
      </c>
      <c r="B74" s="8" t="n">
        <f aca="false">'Initial char'!B74</f>
        <v>25</v>
      </c>
      <c r="C74" s="8" t="n">
        <f aca="false">'Initial char'!C74</f>
        <v>25</v>
      </c>
      <c r="D74" s="8" t="str">
        <f aca="false">'Initial char'!D74</f>
        <v/>
      </c>
      <c r="E74" s="27" t="str">
        <f aca="false">IF('Initial char'!O74="","",'Initial char'!O74)</f>
        <v/>
      </c>
      <c r="F74" s="28" t="str">
        <f aca="false">IF('Initial char'!N74="","",'Initial char'!N74)</f>
        <v/>
      </c>
      <c r="G74" s="19" t="str">
        <f aca="false">IF($E74="","",$E74+G$5)</f>
        <v/>
      </c>
      <c r="H74" s="19" t="str">
        <f aca="false">IF($E74="","",$E74+H$5)</f>
        <v/>
      </c>
      <c r="I74" s="19" t="str">
        <f aca="false">IF($E74="","",$E74+I$5)</f>
        <v/>
      </c>
      <c r="J74" s="19" t="str">
        <f aca="false">IF($E74="","",$E74+J$5)</f>
        <v/>
      </c>
      <c r="K74" s="19" t="str">
        <f aca="false">IF($E74="","",$E74+K$5)</f>
        <v/>
      </c>
      <c r="L74" s="23" t="str">
        <f aca="false">IF($F74="","",ROUND($H$3*$F74*G$5,0))</f>
        <v/>
      </c>
      <c r="M74" s="23" t="str">
        <f aca="false">IF($F74="","",ROUND($H$3*$F74*H$5,0))</f>
        <v/>
      </c>
      <c r="N74" s="23" t="str">
        <f aca="false">IF($F74="","",ROUND($H$3*$F74*I$5,0))</f>
        <v/>
      </c>
      <c r="O74" s="23" t="str">
        <f aca="false">IF($F74="","",ROUND($H$3*$F74*J$5,0))</f>
        <v/>
      </c>
      <c r="P74" s="23" t="str">
        <f aca="false">IF($F74="","",ROUND($H$3*$F74*K$5,0))</f>
        <v/>
      </c>
      <c r="Q74" s="4"/>
      <c r="R74" s="4"/>
      <c r="S74" s="4"/>
      <c r="T74" s="4"/>
    </row>
    <row r="75" customFormat="false" ht="15" hidden="false" customHeight="false" outlineLevel="0" collapsed="false">
      <c r="A75" s="8" t="str">
        <f aca="false">'Initial char'!A75</f>
        <v>Q3</v>
      </c>
      <c r="B75" s="8" t="n">
        <f aca="false">'Initial char'!B75</f>
        <v>26</v>
      </c>
      <c r="C75" s="8" t="n">
        <f aca="false">'Initial char'!C75</f>
        <v>26</v>
      </c>
      <c r="D75" s="8" t="str">
        <f aca="false">'Initial char'!D75</f>
        <v/>
      </c>
      <c r="E75" s="27" t="str">
        <f aca="false">IF('Initial char'!O75="","",'Initial char'!O75)</f>
        <v/>
      </c>
      <c r="F75" s="28" t="str">
        <f aca="false">IF('Initial char'!N75="","",'Initial char'!N75)</f>
        <v/>
      </c>
      <c r="G75" s="19" t="str">
        <f aca="false">IF($E75="","",$E75+G$5)</f>
        <v/>
      </c>
      <c r="H75" s="19" t="str">
        <f aca="false">IF($E75="","",$E75+H$5)</f>
        <v/>
      </c>
      <c r="I75" s="19" t="str">
        <f aca="false">IF($E75="","",$E75+I$5)</f>
        <v/>
      </c>
      <c r="J75" s="19" t="str">
        <f aca="false">IF($E75="","",$E75+J$5)</f>
        <v/>
      </c>
      <c r="K75" s="19" t="str">
        <f aca="false">IF($E75="","",$E75+K$5)</f>
        <v/>
      </c>
      <c r="L75" s="23" t="str">
        <f aca="false">IF($F75="","",ROUND($H$3*$F75*G$5,0))</f>
        <v/>
      </c>
      <c r="M75" s="23" t="str">
        <f aca="false">IF($F75="","",ROUND($H$3*$F75*H$5,0))</f>
        <v/>
      </c>
      <c r="N75" s="23" t="str">
        <f aca="false">IF($F75="","",ROUND($H$3*$F75*I$5,0))</f>
        <v/>
      </c>
      <c r="O75" s="23" t="str">
        <f aca="false">IF($F75="","",ROUND($H$3*$F75*J$5,0))</f>
        <v/>
      </c>
      <c r="P75" s="23" t="str">
        <f aca="false">IF($F75="","",ROUND($H$3*$F75*K$5,0))</f>
        <v/>
      </c>
      <c r="Q75" s="4"/>
      <c r="R75" s="4"/>
      <c r="S75" s="4"/>
      <c r="T75" s="4"/>
    </row>
    <row r="76" customFormat="false" ht="15" hidden="false" customHeight="false" outlineLevel="0" collapsed="false">
      <c r="A76" s="8" t="str">
        <f aca="false">'Initial char'!A76</f>
        <v>Q3</v>
      </c>
      <c r="B76" s="8" t="n">
        <f aca="false">'Initial char'!B76</f>
        <v>27</v>
      </c>
      <c r="C76" s="8" t="n">
        <f aca="false">'Initial char'!C76</f>
        <v>27</v>
      </c>
      <c r="D76" s="8" t="str">
        <f aca="false">'Initial char'!D76</f>
        <v/>
      </c>
      <c r="E76" s="27" t="str">
        <f aca="false">IF('Initial char'!O76="","",'Initial char'!O76)</f>
        <v/>
      </c>
      <c r="F76" s="28" t="str">
        <f aca="false">IF('Initial char'!N76="","",'Initial char'!N76)</f>
        <v/>
      </c>
      <c r="G76" s="19" t="str">
        <f aca="false">IF($E76="","",$E76+G$5)</f>
        <v/>
      </c>
      <c r="H76" s="19" t="str">
        <f aca="false">IF($E76="","",$E76+H$5)</f>
        <v/>
      </c>
      <c r="I76" s="19" t="str">
        <f aca="false">IF($E76="","",$E76+I$5)</f>
        <v/>
      </c>
      <c r="J76" s="19" t="str">
        <f aca="false">IF($E76="","",$E76+J$5)</f>
        <v/>
      </c>
      <c r="K76" s="19" t="str">
        <f aca="false">IF($E76="","",$E76+K$5)</f>
        <v/>
      </c>
      <c r="L76" s="23" t="str">
        <f aca="false">IF($F76="","",ROUND($H$3*$F76*G$5,0))</f>
        <v/>
      </c>
      <c r="M76" s="23" t="str">
        <f aca="false">IF($F76="","",ROUND($H$3*$F76*H$5,0))</f>
        <v/>
      </c>
      <c r="N76" s="23" t="str">
        <f aca="false">IF($F76="","",ROUND($H$3*$F76*I$5,0))</f>
        <v/>
      </c>
      <c r="O76" s="23" t="str">
        <f aca="false">IF($F76="","",ROUND($H$3*$F76*J$5,0))</f>
        <v/>
      </c>
      <c r="P76" s="23" t="str">
        <f aca="false">IF($F76="","",ROUND($H$3*$F76*K$5,0))</f>
        <v/>
      </c>
      <c r="Q76" s="4"/>
      <c r="R76" s="4"/>
      <c r="S76" s="4"/>
      <c r="T76" s="4"/>
    </row>
    <row r="77" customFormat="false" ht="15" hidden="false" customHeight="false" outlineLevel="0" collapsed="false">
      <c r="A77" s="8" t="str">
        <f aca="false">'Initial char'!A77</f>
        <v>Q3</v>
      </c>
      <c r="B77" s="8" t="n">
        <f aca="false">'Initial char'!B77</f>
        <v>28</v>
      </c>
      <c r="C77" s="8" t="n">
        <f aca="false">'Initial char'!C77</f>
        <v>28</v>
      </c>
      <c r="D77" s="8" t="str">
        <f aca="false">'Initial char'!D77</f>
        <v/>
      </c>
      <c r="E77" s="27" t="str">
        <f aca="false">IF('Initial char'!O77="","",'Initial char'!O77)</f>
        <v/>
      </c>
      <c r="F77" s="28" t="str">
        <f aca="false">IF('Initial char'!N77="","",'Initial char'!N77)</f>
        <v/>
      </c>
      <c r="G77" s="19" t="str">
        <f aca="false">IF($E77="","",$E77+G$5)</f>
        <v/>
      </c>
      <c r="H77" s="19" t="str">
        <f aca="false">IF($E77="","",$E77+H$5)</f>
        <v/>
      </c>
      <c r="I77" s="19" t="str">
        <f aca="false">IF($E77="","",$E77+I$5)</f>
        <v/>
      </c>
      <c r="J77" s="19" t="str">
        <f aca="false">IF($E77="","",$E77+J$5)</f>
        <v/>
      </c>
      <c r="K77" s="19" t="str">
        <f aca="false">IF($E77="","",$E77+K$5)</f>
        <v/>
      </c>
      <c r="L77" s="23" t="str">
        <f aca="false">IF($F77="","",ROUND($H$3*$F77*G$5,0))</f>
        <v/>
      </c>
      <c r="M77" s="23" t="str">
        <f aca="false">IF($F77="","",ROUND($H$3*$F77*H$5,0))</f>
        <v/>
      </c>
      <c r="N77" s="23" t="str">
        <f aca="false">IF($F77="","",ROUND($H$3*$F77*I$5,0))</f>
        <v/>
      </c>
      <c r="O77" s="23" t="str">
        <f aca="false">IF($F77="","",ROUND($H$3*$F77*J$5,0))</f>
        <v/>
      </c>
      <c r="P77" s="23" t="str">
        <f aca="false">IF($F77="","",ROUND($H$3*$F77*K$5,0))</f>
        <v/>
      </c>
      <c r="Q77" s="4"/>
      <c r="R77" s="4"/>
      <c r="S77" s="4"/>
      <c r="T77" s="4"/>
    </row>
    <row r="78" customFormat="false" ht="15" hidden="false" customHeight="false" outlineLevel="0" collapsed="false">
      <c r="A78" s="8" t="str">
        <f aca="false">'Initial char'!A78</f>
        <v>Q3</v>
      </c>
      <c r="B78" s="8" t="n">
        <f aca="false">'Initial char'!B78</f>
        <v>29</v>
      </c>
      <c r="C78" s="8" t="n">
        <f aca="false">'Initial char'!C78</f>
        <v>29</v>
      </c>
      <c r="D78" s="8" t="str">
        <f aca="false">'Initial char'!D78</f>
        <v/>
      </c>
      <c r="E78" s="27" t="str">
        <f aca="false">IF('Initial char'!O78="","",'Initial char'!O78)</f>
        <v/>
      </c>
      <c r="F78" s="28" t="str">
        <f aca="false">IF('Initial char'!N78="","",'Initial char'!N78)</f>
        <v/>
      </c>
      <c r="G78" s="19" t="str">
        <f aca="false">IF($E78="","",$E78+G$5)</f>
        <v/>
      </c>
      <c r="H78" s="19" t="str">
        <f aca="false">IF($E78="","",$E78+H$5)</f>
        <v/>
      </c>
      <c r="I78" s="19" t="str">
        <f aca="false">IF($E78="","",$E78+I$5)</f>
        <v/>
      </c>
      <c r="J78" s="19" t="str">
        <f aca="false">IF($E78="","",$E78+J$5)</f>
        <v/>
      </c>
      <c r="K78" s="19" t="str">
        <f aca="false">IF($E78="","",$E78+K$5)</f>
        <v/>
      </c>
      <c r="L78" s="23" t="str">
        <f aca="false">IF($F78="","",ROUND($H$3*$F78*G$5,0))</f>
        <v/>
      </c>
      <c r="M78" s="23" t="str">
        <f aca="false">IF($F78="","",ROUND($H$3*$F78*H$5,0))</f>
        <v/>
      </c>
      <c r="N78" s="23" t="str">
        <f aca="false">IF($F78="","",ROUND($H$3*$F78*I$5,0))</f>
        <v/>
      </c>
      <c r="O78" s="23" t="str">
        <f aca="false">IF($F78="","",ROUND($H$3*$F78*J$5,0))</f>
        <v/>
      </c>
      <c r="P78" s="23" t="str">
        <f aca="false">IF($F78="","",ROUND($H$3*$F78*K$5,0))</f>
        <v/>
      </c>
      <c r="Q78" s="4"/>
      <c r="R78" s="4"/>
      <c r="S78" s="4"/>
      <c r="T78" s="4"/>
    </row>
    <row r="79" customFormat="false" ht="15" hidden="false" customHeight="false" outlineLevel="0" collapsed="false">
      <c r="A79" s="8" t="str">
        <f aca="false">'Initial char'!A79</f>
        <v>Q3</v>
      </c>
      <c r="B79" s="8" t="n">
        <f aca="false">'Initial char'!B79</f>
        <v>30</v>
      </c>
      <c r="C79" s="8" t="n">
        <f aca="false">'Initial char'!C79</f>
        <v>30</v>
      </c>
      <c r="D79" s="8" t="str">
        <f aca="false">'Initial char'!D79</f>
        <v/>
      </c>
      <c r="E79" s="27" t="str">
        <f aca="false">IF('Initial char'!O79="","",'Initial char'!O79)</f>
        <v/>
      </c>
      <c r="F79" s="28" t="str">
        <f aca="false">IF('Initial char'!N79="","",'Initial char'!N79)</f>
        <v/>
      </c>
      <c r="G79" s="19" t="str">
        <f aca="false">IF($E79="","",$E79+G$5)</f>
        <v/>
      </c>
      <c r="H79" s="19" t="str">
        <f aca="false">IF($E79="","",$E79+H$5)</f>
        <v/>
      </c>
      <c r="I79" s="19" t="str">
        <f aca="false">IF($E79="","",$E79+I$5)</f>
        <v/>
      </c>
      <c r="J79" s="19" t="str">
        <f aca="false">IF($E79="","",$E79+J$5)</f>
        <v/>
      </c>
      <c r="K79" s="19" t="str">
        <f aca="false">IF($E79="","",$E79+K$5)</f>
        <v/>
      </c>
      <c r="L79" s="23" t="str">
        <f aca="false">IF($F79="","",ROUND($H$3*$F79*G$5,0))</f>
        <v/>
      </c>
      <c r="M79" s="23" t="str">
        <f aca="false">IF($F79="","",ROUND($H$3*$F79*H$5,0))</f>
        <v/>
      </c>
      <c r="N79" s="23" t="str">
        <f aca="false">IF($F79="","",ROUND($H$3*$F79*I$5,0))</f>
        <v/>
      </c>
      <c r="O79" s="23" t="str">
        <f aca="false">IF($F79="","",ROUND($H$3*$F79*J$5,0))</f>
        <v/>
      </c>
      <c r="P79" s="23" t="str">
        <f aca="false">IF($F79="","",ROUND($H$3*$F79*K$5,0))</f>
        <v/>
      </c>
      <c r="Q79" s="4"/>
      <c r="R79" s="4"/>
      <c r="S79" s="4"/>
      <c r="T79" s="4"/>
    </row>
    <row r="80" customFormat="false" ht="15" hidden="false" customHeight="false" outlineLevel="0" collapsed="false">
      <c r="A80" s="8" t="str">
        <f aca="false">'Initial char'!A80</f>
        <v>Q4</v>
      </c>
      <c r="B80" s="8" t="n">
        <f aca="false">'Initial char'!B80</f>
        <v>1</v>
      </c>
      <c r="C80" s="8" t="n">
        <f aca="false">'Initial char'!C80</f>
        <v>1</v>
      </c>
      <c r="D80" s="8" t="str">
        <f aca="false">'Initial char'!D80</f>
        <v/>
      </c>
      <c r="E80" s="27" t="str">
        <f aca="false">IF('Initial char'!O80="","",'Initial char'!O80)</f>
        <v/>
      </c>
      <c r="F80" s="28" t="str">
        <f aca="false">IF('Initial char'!N80="","",'Initial char'!N80)</f>
        <v/>
      </c>
      <c r="G80" s="19" t="str">
        <f aca="false">IF($E80="","",$E80+G$5)</f>
        <v/>
      </c>
      <c r="H80" s="19" t="str">
        <f aca="false">IF($E80="","",$E80+H$5)</f>
        <v/>
      </c>
      <c r="I80" s="19" t="str">
        <f aca="false">IF($E80="","",$E80+I$5)</f>
        <v/>
      </c>
      <c r="J80" s="19" t="str">
        <f aca="false">IF($E80="","",$E80+J$5)</f>
        <v/>
      </c>
      <c r="K80" s="19" t="str">
        <f aca="false">IF($E80="","",$E80+K$5)</f>
        <v/>
      </c>
      <c r="L80" s="23" t="str">
        <f aca="false">IF($F80="","",ROUND($H$3*$F80*G$5,0))</f>
        <v/>
      </c>
      <c r="M80" s="23" t="str">
        <f aca="false">IF($F80="","",ROUND($H$3*$F80*H$5,0))</f>
        <v/>
      </c>
      <c r="N80" s="23" t="str">
        <f aca="false">IF($F80="","",ROUND($H$3*$F80*I$5,0))</f>
        <v/>
      </c>
      <c r="O80" s="23" t="str">
        <f aca="false">IF($F80="","",ROUND($H$3*$F80*J$5,0))</f>
        <v/>
      </c>
      <c r="P80" s="23" t="str">
        <f aca="false">IF($F80="","",ROUND($H$3*$F80*K$5,0))</f>
        <v/>
      </c>
      <c r="Q80" s="4"/>
      <c r="R80" s="4"/>
      <c r="S80" s="4"/>
      <c r="T80" s="4"/>
    </row>
    <row r="81" customFormat="false" ht="15" hidden="false" customHeight="false" outlineLevel="0" collapsed="false">
      <c r="A81" s="8" t="str">
        <f aca="false">'Initial char'!A81</f>
        <v>Q4</v>
      </c>
      <c r="B81" s="8" t="n">
        <f aca="false">'Initial char'!B81</f>
        <v>2</v>
      </c>
      <c r="C81" s="8" t="n">
        <f aca="false">'Initial char'!C81</f>
        <v>2</v>
      </c>
      <c r="D81" s="8" t="str">
        <f aca="false">'Initial char'!D81</f>
        <v/>
      </c>
      <c r="E81" s="27" t="str">
        <f aca="false">IF('Initial char'!O81="","",'Initial char'!O81)</f>
        <v/>
      </c>
      <c r="F81" s="28" t="str">
        <f aca="false">IF('Initial char'!N81="","",'Initial char'!N81)</f>
        <v/>
      </c>
      <c r="G81" s="19" t="str">
        <f aca="false">IF($E81="","",$E81+G$5)</f>
        <v/>
      </c>
      <c r="H81" s="19" t="str">
        <f aca="false">IF($E81="","",$E81+H$5)</f>
        <v/>
      </c>
      <c r="I81" s="19" t="str">
        <f aca="false">IF($E81="","",$E81+I$5)</f>
        <v/>
      </c>
      <c r="J81" s="19" t="str">
        <f aca="false">IF($E81="","",$E81+J$5)</f>
        <v/>
      </c>
      <c r="K81" s="19" t="str">
        <f aca="false">IF($E81="","",$E81+K$5)</f>
        <v/>
      </c>
      <c r="L81" s="23" t="str">
        <f aca="false">IF($F81="","",ROUND($H$3*$F81*G$5,0))</f>
        <v/>
      </c>
      <c r="M81" s="23" t="str">
        <f aca="false">IF($F81="","",ROUND($H$3*$F81*H$5,0))</f>
        <v/>
      </c>
      <c r="N81" s="23" t="str">
        <f aca="false">IF($F81="","",ROUND($H$3*$F81*I$5,0))</f>
        <v/>
      </c>
      <c r="O81" s="23" t="str">
        <f aca="false">IF($F81="","",ROUND($H$3*$F81*J$5,0))</f>
        <v/>
      </c>
      <c r="P81" s="23" t="str">
        <f aca="false">IF($F81="","",ROUND($H$3*$F81*K$5,0))</f>
        <v/>
      </c>
      <c r="Q81" s="4"/>
      <c r="R81" s="4"/>
      <c r="S81" s="4"/>
      <c r="T81" s="4"/>
    </row>
    <row r="82" customFormat="false" ht="15" hidden="false" customHeight="false" outlineLevel="0" collapsed="false">
      <c r="A82" s="8" t="str">
        <f aca="false">'Initial char'!A82</f>
        <v>Q4</v>
      </c>
      <c r="B82" s="8" t="n">
        <f aca="false">'Initial char'!B82</f>
        <v>3</v>
      </c>
      <c r="C82" s="8" t="n">
        <f aca="false">'Initial char'!C82</f>
        <v>3</v>
      </c>
      <c r="D82" s="8" t="str">
        <f aca="false">'Initial char'!D82</f>
        <v/>
      </c>
      <c r="E82" s="27" t="str">
        <f aca="false">IF('Initial char'!O82="","",'Initial char'!O82)</f>
        <v/>
      </c>
      <c r="F82" s="28" t="str">
        <f aca="false">IF('Initial char'!N82="","",'Initial char'!N82)</f>
        <v/>
      </c>
      <c r="G82" s="19" t="str">
        <f aca="false">IF($E82="","",$E82+G$5)</f>
        <v/>
      </c>
      <c r="H82" s="19" t="str">
        <f aca="false">IF($E82="","",$E82+H$5)</f>
        <v/>
      </c>
      <c r="I82" s="19" t="str">
        <f aca="false">IF($E82="","",$E82+I$5)</f>
        <v/>
      </c>
      <c r="J82" s="19" t="str">
        <f aca="false">IF($E82="","",$E82+J$5)</f>
        <v/>
      </c>
      <c r="K82" s="19" t="str">
        <f aca="false">IF($E82="","",$E82+K$5)</f>
        <v/>
      </c>
      <c r="L82" s="23" t="str">
        <f aca="false">IF($F82="","",ROUND($H$3*$F82*G$5,0))</f>
        <v/>
      </c>
      <c r="M82" s="23" t="str">
        <f aca="false">IF($F82="","",ROUND($H$3*$F82*H$5,0))</f>
        <v/>
      </c>
      <c r="N82" s="23" t="str">
        <f aca="false">IF($F82="","",ROUND($H$3*$F82*I$5,0))</f>
        <v/>
      </c>
      <c r="O82" s="23" t="str">
        <f aca="false">IF($F82="","",ROUND($H$3*$F82*J$5,0))</f>
        <v/>
      </c>
      <c r="P82" s="23" t="str">
        <f aca="false">IF($F82="","",ROUND($H$3*$F82*K$5,0))</f>
        <v/>
      </c>
      <c r="Q82" s="4"/>
      <c r="R82" s="4"/>
      <c r="S82" s="4"/>
      <c r="T82" s="4"/>
    </row>
    <row r="83" customFormat="false" ht="15" hidden="false" customHeight="false" outlineLevel="0" collapsed="false">
      <c r="A83" s="8" t="str">
        <f aca="false">'Initial char'!A83</f>
        <v>Q4</v>
      </c>
      <c r="B83" s="8" t="n">
        <f aca="false">'Initial char'!B83</f>
        <v>4</v>
      </c>
      <c r="C83" s="8" t="n">
        <f aca="false">'Initial char'!C83</f>
        <v>4</v>
      </c>
      <c r="D83" s="8" t="str">
        <f aca="false">'Initial char'!D83</f>
        <v/>
      </c>
      <c r="E83" s="27" t="str">
        <f aca="false">IF('Initial char'!O83="","",'Initial char'!O83)</f>
        <v/>
      </c>
      <c r="F83" s="28" t="str">
        <f aca="false">IF('Initial char'!N83="","",'Initial char'!N83)</f>
        <v/>
      </c>
      <c r="G83" s="19" t="str">
        <f aca="false">IF($E83="","",$E83+G$5)</f>
        <v/>
      </c>
      <c r="H83" s="19" t="str">
        <f aca="false">IF($E83="","",$E83+H$5)</f>
        <v/>
      </c>
      <c r="I83" s="19" t="str">
        <f aca="false">IF($E83="","",$E83+I$5)</f>
        <v/>
      </c>
      <c r="J83" s="19" t="str">
        <f aca="false">IF($E83="","",$E83+J$5)</f>
        <v/>
      </c>
      <c r="K83" s="19" t="str">
        <f aca="false">IF($E83="","",$E83+K$5)</f>
        <v/>
      </c>
      <c r="L83" s="23" t="str">
        <f aca="false">IF($F83="","",ROUND($H$3*$F83*G$5,0))</f>
        <v/>
      </c>
      <c r="M83" s="23" t="str">
        <f aca="false">IF($F83="","",ROUND($H$3*$F83*H$5,0))</f>
        <v/>
      </c>
      <c r="N83" s="23" t="str">
        <f aca="false">IF($F83="","",ROUND($H$3*$F83*I$5,0))</f>
        <v/>
      </c>
      <c r="O83" s="23" t="str">
        <f aca="false">IF($F83="","",ROUND($H$3*$F83*J$5,0))</f>
        <v/>
      </c>
      <c r="P83" s="23" t="str">
        <f aca="false">IF($F83="","",ROUND($H$3*$F83*K$5,0))</f>
        <v/>
      </c>
      <c r="Q83" s="4"/>
      <c r="R83" s="4"/>
      <c r="S83" s="4"/>
      <c r="T83" s="4"/>
    </row>
    <row r="84" customFormat="false" ht="15" hidden="false" customHeight="false" outlineLevel="0" collapsed="false">
      <c r="A84" s="8" t="str">
        <f aca="false">'Initial char'!A84</f>
        <v>Q4</v>
      </c>
      <c r="B84" s="8" t="n">
        <f aca="false">'Initial char'!B84</f>
        <v>5</v>
      </c>
      <c r="C84" s="8" t="n">
        <f aca="false">'Initial char'!C84</f>
        <v>5</v>
      </c>
      <c r="D84" s="8" t="str">
        <f aca="false">'Initial char'!D84</f>
        <v/>
      </c>
      <c r="E84" s="27" t="str">
        <f aca="false">IF('Initial char'!O84="","",'Initial char'!O84)</f>
        <v/>
      </c>
      <c r="F84" s="28" t="str">
        <f aca="false">IF('Initial char'!N84="","",'Initial char'!N84)</f>
        <v/>
      </c>
      <c r="G84" s="19" t="str">
        <f aca="false">IF($E84="","",$E84+G$5)</f>
        <v/>
      </c>
      <c r="H84" s="19" t="str">
        <f aca="false">IF($E84="","",$E84+H$5)</f>
        <v/>
      </c>
      <c r="I84" s="19" t="str">
        <f aca="false">IF($E84="","",$E84+I$5)</f>
        <v/>
      </c>
      <c r="J84" s="19" t="str">
        <f aca="false">IF($E84="","",$E84+J$5)</f>
        <v/>
      </c>
      <c r="K84" s="19" t="str">
        <f aca="false">IF($E84="","",$E84+K$5)</f>
        <v/>
      </c>
      <c r="L84" s="23" t="str">
        <f aca="false">IF($F84="","",ROUND($H$3*$F84*G$5,0))</f>
        <v/>
      </c>
      <c r="M84" s="23" t="str">
        <f aca="false">IF($F84="","",ROUND($H$3*$F84*H$5,0))</f>
        <v/>
      </c>
      <c r="N84" s="23" t="str">
        <f aca="false">IF($F84="","",ROUND($H$3*$F84*I$5,0))</f>
        <v/>
      </c>
      <c r="O84" s="23" t="str">
        <f aca="false">IF($F84="","",ROUND($H$3*$F84*J$5,0))</f>
        <v/>
      </c>
      <c r="P84" s="23" t="str">
        <f aca="false">IF($F84="","",ROUND($H$3*$F84*K$5,0))</f>
        <v/>
      </c>
      <c r="Q84" s="4"/>
      <c r="R84" s="4"/>
      <c r="S84" s="4"/>
      <c r="T84" s="4"/>
    </row>
    <row r="85" customFormat="false" ht="15" hidden="false" customHeight="false" outlineLevel="0" collapsed="false">
      <c r="A85" s="8" t="str">
        <f aca="false">'Initial char'!A85</f>
        <v>Q4</v>
      </c>
      <c r="B85" s="8" t="n">
        <f aca="false">'Initial char'!B85</f>
        <v>6</v>
      </c>
      <c r="C85" s="8" t="n">
        <f aca="false">'Initial char'!C85</f>
        <v>6</v>
      </c>
      <c r="D85" s="8" t="str">
        <f aca="false">'Initial char'!D85</f>
        <v/>
      </c>
      <c r="E85" s="27" t="str">
        <f aca="false">IF('Initial char'!O85="","",'Initial char'!O85)</f>
        <v/>
      </c>
      <c r="F85" s="28" t="str">
        <f aca="false">IF('Initial char'!N85="","",'Initial char'!N85)</f>
        <v/>
      </c>
      <c r="G85" s="19" t="str">
        <f aca="false">IF($E85="","",$E85+G$5)</f>
        <v/>
      </c>
      <c r="H85" s="19" t="str">
        <f aca="false">IF($E85="","",$E85+H$5)</f>
        <v/>
      </c>
      <c r="I85" s="19" t="str">
        <f aca="false">IF($E85="","",$E85+I$5)</f>
        <v/>
      </c>
      <c r="J85" s="19" t="str">
        <f aca="false">IF($E85="","",$E85+J$5)</f>
        <v/>
      </c>
      <c r="K85" s="19" t="str">
        <f aca="false">IF($E85="","",$E85+K$5)</f>
        <v/>
      </c>
      <c r="L85" s="23" t="str">
        <f aca="false">IF($F85="","",ROUND($H$3*$F85*G$5,0))</f>
        <v/>
      </c>
      <c r="M85" s="23" t="str">
        <f aca="false">IF($F85="","",ROUND($H$3*$F85*H$5,0))</f>
        <v/>
      </c>
      <c r="N85" s="23" t="str">
        <f aca="false">IF($F85="","",ROUND($H$3*$F85*I$5,0))</f>
        <v/>
      </c>
      <c r="O85" s="23" t="str">
        <f aca="false">IF($F85="","",ROUND($H$3*$F85*J$5,0))</f>
        <v/>
      </c>
      <c r="P85" s="23" t="str">
        <f aca="false">IF($F85="","",ROUND($H$3*$F85*K$5,0))</f>
        <v/>
      </c>
      <c r="Q85" s="4"/>
      <c r="R85" s="4"/>
      <c r="S85" s="4"/>
      <c r="T85" s="4"/>
    </row>
    <row r="86" customFormat="false" ht="15" hidden="false" customHeight="false" outlineLevel="0" collapsed="false">
      <c r="A86" s="8" t="str">
        <f aca="false">'Initial char'!A86</f>
        <v>Q4</v>
      </c>
      <c r="B86" s="8" t="n">
        <f aca="false">'Initial char'!B86</f>
        <v>7</v>
      </c>
      <c r="C86" s="8" t="n">
        <f aca="false">'Initial char'!C86</f>
        <v>7</v>
      </c>
      <c r="D86" s="8" t="str">
        <f aca="false">'Initial char'!D86</f>
        <v/>
      </c>
      <c r="E86" s="27" t="str">
        <f aca="false">IF('Initial char'!O86="","",'Initial char'!O86)</f>
        <v/>
      </c>
      <c r="F86" s="28" t="str">
        <f aca="false">IF('Initial char'!N86="","",'Initial char'!N86)</f>
        <v/>
      </c>
      <c r="G86" s="19" t="str">
        <f aca="false">IF($E86="","",$E86+G$5)</f>
        <v/>
      </c>
      <c r="H86" s="19" t="str">
        <f aca="false">IF($E86="","",$E86+H$5)</f>
        <v/>
      </c>
      <c r="I86" s="19" t="str">
        <f aca="false">IF($E86="","",$E86+I$5)</f>
        <v/>
      </c>
      <c r="J86" s="19" t="str">
        <f aca="false">IF($E86="","",$E86+J$5)</f>
        <v/>
      </c>
      <c r="K86" s="19" t="str">
        <f aca="false">IF($E86="","",$E86+K$5)</f>
        <v/>
      </c>
      <c r="L86" s="23" t="str">
        <f aca="false">IF($F86="","",ROUND($H$3*$F86*G$5,0))</f>
        <v/>
      </c>
      <c r="M86" s="23" t="str">
        <f aca="false">IF($F86="","",ROUND($H$3*$F86*H$5,0))</f>
        <v/>
      </c>
      <c r="N86" s="23" t="str">
        <f aca="false">IF($F86="","",ROUND($H$3*$F86*I$5,0))</f>
        <v/>
      </c>
      <c r="O86" s="23" t="str">
        <f aca="false">IF($F86="","",ROUND($H$3*$F86*J$5,0))</f>
        <v/>
      </c>
      <c r="P86" s="23" t="str">
        <f aca="false">IF($F86="","",ROUND($H$3*$F86*K$5,0))</f>
        <v/>
      </c>
      <c r="Q86" s="4"/>
      <c r="R86" s="4"/>
      <c r="S86" s="4"/>
      <c r="T86" s="4"/>
    </row>
    <row r="87" customFormat="false" ht="15" hidden="false" customHeight="false" outlineLevel="0" collapsed="false">
      <c r="A87" s="8" t="str">
        <f aca="false">'Initial char'!A87</f>
        <v>Q4</v>
      </c>
      <c r="B87" s="8" t="n">
        <f aca="false">'Initial char'!B87</f>
        <v>8</v>
      </c>
      <c r="C87" s="8" t="n">
        <f aca="false">'Initial char'!C87</f>
        <v>8</v>
      </c>
      <c r="D87" s="8" t="str">
        <f aca="false">'Initial char'!D87</f>
        <v/>
      </c>
      <c r="E87" s="27" t="str">
        <f aca="false">IF('Initial char'!O87="","",'Initial char'!O87)</f>
        <v/>
      </c>
      <c r="F87" s="28" t="str">
        <f aca="false">IF('Initial char'!N87="","",'Initial char'!N87)</f>
        <v/>
      </c>
      <c r="G87" s="19" t="str">
        <f aca="false">IF($E87="","",$E87+G$5)</f>
        <v/>
      </c>
      <c r="H87" s="19" t="str">
        <f aca="false">IF($E87="","",$E87+H$5)</f>
        <v/>
      </c>
      <c r="I87" s="19" t="str">
        <f aca="false">IF($E87="","",$E87+I$5)</f>
        <v/>
      </c>
      <c r="J87" s="19" t="str">
        <f aca="false">IF($E87="","",$E87+J$5)</f>
        <v/>
      </c>
      <c r="K87" s="19" t="str">
        <f aca="false">IF($E87="","",$E87+K$5)</f>
        <v/>
      </c>
      <c r="L87" s="23" t="str">
        <f aca="false">IF($F87="","",ROUND($H$3*$F87*G$5,0))</f>
        <v/>
      </c>
      <c r="M87" s="23" t="str">
        <f aca="false">IF($F87="","",ROUND($H$3*$F87*H$5,0))</f>
        <v/>
      </c>
      <c r="N87" s="23" t="str">
        <f aca="false">IF($F87="","",ROUND($H$3*$F87*I$5,0))</f>
        <v/>
      </c>
      <c r="O87" s="23" t="str">
        <f aca="false">IF($F87="","",ROUND($H$3*$F87*J$5,0))</f>
        <v/>
      </c>
      <c r="P87" s="23" t="str">
        <f aca="false">IF($F87="","",ROUND($H$3*$F87*K$5,0))</f>
        <v/>
      </c>
      <c r="Q87" s="4"/>
      <c r="R87" s="4"/>
      <c r="S87" s="4"/>
      <c r="T87" s="4"/>
    </row>
    <row r="88" customFormat="false" ht="15" hidden="false" customHeight="false" outlineLevel="0" collapsed="false">
      <c r="A88" s="8" t="str">
        <f aca="false">'Initial char'!A88</f>
        <v>Q4</v>
      </c>
      <c r="B88" s="8" t="n">
        <f aca="false">'Initial char'!B88</f>
        <v>9</v>
      </c>
      <c r="C88" s="8" t="n">
        <f aca="false">'Initial char'!C88</f>
        <v>9</v>
      </c>
      <c r="D88" s="8" t="str">
        <f aca="false">'Initial char'!D88</f>
        <v/>
      </c>
      <c r="E88" s="27" t="str">
        <f aca="false">IF('Initial char'!O88="","",'Initial char'!O88)</f>
        <v/>
      </c>
      <c r="F88" s="28" t="str">
        <f aca="false">IF('Initial char'!N88="","",'Initial char'!N88)</f>
        <v/>
      </c>
      <c r="G88" s="19" t="str">
        <f aca="false">IF($E88="","",$E88+G$5)</f>
        <v/>
      </c>
      <c r="H88" s="19" t="str">
        <f aca="false">IF($E88="","",$E88+H$5)</f>
        <v/>
      </c>
      <c r="I88" s="19" t="str">
        <f aca="false">IF($E88="","",$E88+I$5)</f>
        <v/>
      </c>
      <c r="J88" s="19" t="str">
        <f aca="false">IF($E88="","",$E88+J$5)</f>
        <v/>
      </c>
      <c r="K88" s="19" t="str">
        <f aca="false">IF($E88="","",$E88+K$5)</f>
        <v/>
      </c>
      <c r="L88" s="23" t="str">
        <f aca="false">IF($F88="","",ROUND($H$3*$F88*G$5,0))</f>
        <v/>
      </c>
      <c r="M88" s="23" t="str">
        <f aca="false">IF($F88="","",ROUND($H$3*$F88*H$5,0))</f>
        <v/>
      </c>
      <c r="N88" s="23" t="str">
        <f aca="false">IF($F88="","",ROUND($H$3*$F88*I$5,0))</f>
        <v/>
      </c>
      <c r="O88" s="23" t="str">
        <f aca="false">IF($F88="","",ROUND($H$3*$F88*J$5,0))</f>
        <v/>
      </c>
      <c r="P88" s="23" t="str">
        <f aca="false">IF($F88="","",ROUND($H$3*$F88*K$5,0))</f>
        <v/>
      </c>
      <c r="Q88" s="4"/>
      <c r="R88" s="4"/>
      <c r="S88" s="4"/>
      <c r="T88" s="4"/>
    </row>
    <row r="89" customFormat="false" ht="15" hidden="false" customHeight="false" outlineLevel="0" collapsed="false">
      <c r="A89" s="8" t="str">
        <f aca="false">'Initial char'!A89</f>
        <v>Q4</v>
      </c>
      <c r="B89" s="8" t="n">
        <f aca="false">'Initial char'!B89</f>
        <v>10</v>
      </c>
      <c r="C89" s="8" t="n">
        <f aca="false">'Initial char'!C89</f>
        <v>10</v>
      </c>
      <c r="D89" s="8" t="str">
        <f aca="false">'Initial char'!D89</f>
        <v/>
      </c>
      <c r="E89" s="27" t="str">
        <f aca="false">IF('Initial char'!O89="","",'Initial char'!O89)</f>
        <v/>
      </c>
      <c r="F89" s="28" t="str">
        <f aca="false">IF('Initial char'!N89="","",'Initial char'!N89)</f>
        <v/>
      </c>
      <c r="G89" s="19" t="str">
        <f aca="false">IF($E89="","",$E89+G$5)</f>
        <v/>
      </c>
      <c r="H89" s="19" t="str">
        <f aca="false">IF($E89="","",$E89+H$5)</f>
        <v/>
      </c>
      <c r="I89" s="19" t="str">
        <f aca="false">IF($E89="","",$E89+I$5)</f>
        <v/>
      </c>
      <c r="J89" s="19" t="str">
        <f aca="false">IF($E89="","",$E89+J$5)</f>
        <v/>
      </c>
      <c r="K89" s="19" t="str">
        <f aca="false">IF($E89="","",$E89+K$5)</f>
        <v/>
      </c>
      <c r="L89" s="23" t="str">
        <f aca="false">IF($F89="","",ROUND($H$3*$F89*G$5,0))</f>
        <v/>
      </c>
      <c r="M89" s="23" t="str">
        <f aca="false">IF($F89="","",ROUND($H$3*$F89*H$5,0))</f>
        <v/>
      </c>
      <c r="N89" s="23" t="str">
        <f aca="false">IF($F89="","",ROUND($H$3*$F89*I$5,0))</f>
        <v/>
      </c>
      <c r="O89" s="23" t="str">
        <f aca="false">IF($F89="","",ROUND($H$3*$F89*J$5,0))</f>
        <v/>
      </c>
      <c r="P89" s="23" t="str">
        <f aca="false">IF($F89="","",ROUND($H$3*$F89*K$5,0))</f>
        <v/>
      </c>
      <c r="Q89" s="4"/>
      <c r="R89" s="4"/>
      <c r="S89" s="4"/>
      <c r="T89" s="4"/>
    </row>
    <row r="90" customFormat="false" ht="15" hidden="false" customHeight="false" outlineLevel="0" collapsed="false">
      <c r="A90" s="8" t="str">
        <f aca="false">'Initial char'!A90</f>
        <v>Q4</v>
      </c>
      <c r="B90" s="8" t="n">
        <f aca="false">'Initial char'!B90</f>
        <v>11</v>
      </c>
      <c r="C90" s="8" t="n">
        <f aca="false">'Initial char'!C90</f>
        <v>11</v>
      </c>
      <c r="D90" s="8" t="str">
        <f aca="false">'Initial char'!D90</f>
        <v/>
      </c>
      <c r="E90" s="27" t="str">
        <f aca="false">IF('Initial char'!O90="","",'Initial char'!O90)</f>
        <v/>
      </c>
      <c r="F90" s="28" t="str">
        <f aca="false">IF('Initial char'!N90="","",'Initial char'!N90)</f>
        <v/>
      </c>
      <c r="G90" s="19" t="str">
        <f aca="false">IF($E90="","",$E90+G$5)</f>
        <v/>
      </c>
      <c r="H90" s="19" t="str">
        <f aca="false">IF($E90="","",$E90+H$5)</f>
        <v/>
      </c>
      <c r="I90" s="19" t="str">
        <f aca="false">IF($E90="","",$E90+I$5)</f>
        <v/>
      </c>
      <c r="J90" s="19" t="str">
        <f aca="false">IF($E90="","",$E90+J$5)</f>
        <v/>
      </c>
      <c r="K90" s="19" t="str">
        <f aca="false">IF($E90="","",$E90+K$5)</f>
        <v/>
      </c>
      <c r="L90" s="23" t="str">
        <f aca="false">IF($F90="","",ROUND($H$3*$F90*G$5,0))</f>
        <v/>
      </c>
      <c r="M90" s="23" t="str">
        <f aca="false">IF($F90="","",ROUND($H$3*$F90*H$5,0))</f>
        <v/>
      </c>
      <c r="N90" s="23" t="str">
        <f aca="false">IF($F90="","",ROUND($H$3*$F90*I$5,0))</f>
        <v/>
      </c>
      <c r="O90" s="23" t="str">
        <f aca="false">IF($F90="","",ROUND($H$3*$F90*J$5,0))</f>
        <v/>
      </c>
      <c r="P90" s="23" t="str">
        <f aca="false">IF($F90="","",ROUND($H$3*$F90*K$5,0))</f>
        <v/>
      </c>
      <c r="Q90" s="4"/>
      <c r="R90" s="4"/>
      <c r="S90" s="4"/>
      <c r="T90" s="4"/>
    </row>
    <row r="91" customFormat="false" ht="15" hidden="false" customHeight="false" outlineLevel="0" collapsed="false">
      <c r="A91" s="8" t="str">
        <f aca="false">'Initial char'!A91</f>
        <v>Q4</v>
      </c>
      <c r="B91" s="8" t="n">
        <f aca="false">'Initial char'!B91</f>
        <v>12</v>
      </c>
      <c r="C91" s="8" t="n">
        <f aca="false">'Initial char'!C91</f>
        <v>12</v>
      </c>
      <c r="D91" s="8" t="str">
        <f aca="false">'Initial char'!D91</f>
        <v/>
      </c>
      <c r="E91" s="27" t="str">
        <f aca="false">IF('Initial char'!O91="","",'Initial char'!O91)</f>
        <v/>
      </c>
      <c r="F91" s="28" t="str">
        <f aca="false">IF('Initial char'!N91="","",'Initial char'!N91)</f>
        <v/>
      </c>
      <c r="G91" s="19" t="str">
        <f aca="false">IF($E91="","",$E91+G$5)</f>
        <v/>
      </c>
      <c r="H91" s="19" t="str">
        <f aca="false">IF($E91="","",$E91+H$5)</f>
        <v/>
      </c>
      <c r="I91" s="19" t="str">
        <f aca="false">IF($E91="","",$E91+I$5)</f>
        <v/>
      </c>
      <c r="J91" s="19" t="str">
        <f aca="false">IF($E91="","",$E91+J$5)</f>
        <v/>
      </c>
      <c r="K91" s="19" t="str">
        <f aca="false">IF($E91="","",$E91+K$5)</f>
        <v/>
      </c>
      <c r="L91" s="23" t="str">
        <f aca="false">IF($F91="","",ROUND($H$3*$F91*G$5,0))</f>
        <v/>
      </c>
      <c r="M91" s="23" t="str">
        <f aca="false">IF($F91="","",ROUND($H$3*$F91*H$5,0))</f>
        <v/>
      </c>
      <c r="N91" s="23" t="str">
        <f aca="false">IF($F91="","",ROUND($H$3*$F91*I$5,0))</f>
        <v/>
      </c>
      <c r="O91" s="23" t="str">
        <f aca="false">IF($F91="","",ROUND($H$3*$F91*J$5,0))</f>
        <v/>
      </c>
      <c r="P91" s="23" t="str">
        <f aca="false">IF($F91="","",ROUND($H$3*$F91*K$5,0))</f>
        <v/>
      </c>
      <c r="Q91" s="4"/>
      <c r="R91" s="4"/>
      <c r="S91" s="4"/>
      <c r="T91" s="4"/>
    </row>
    <row r="92" customFormat="false" ht="15" hidden="false" customHeight="false" outlineLevel="0" collapsed="false">
      <c r="A92" s="8" t="str">
        <f aca="false">'Initial char'!A92</f>
        <v>Q4</v>
      </c>
      <c r="B92" s="8" t="n">
        <f aca="false">'Initial char'!B92</f>
        <v>13</v>
      </c>
      <c r="C92" s="8" t="n">
        <f aca="false">'Initial char'!C92</f>
        <v>13</v>
      </c>
      <c r="D92" s="8" t="str">
        <f aca="false">'Initial char'!D92</f>
        <v/>
      </c>
      <c r="E92" s="27" t="str">
        <f aca="false">IF('Initial char'!O92="","",'Initial char'!O92)</f>
        <v/>
      </c>
      <c r="F92" s="28" t="str">
        <f aca="false">IF('Initial char'!N92="","",'Initial char'!N92)</f>
        <v/>
      </c>
      <c r="G92" s="19" t="str">
        <f aca="false">IF($E92="","",$E92+G$5)</f>
        <v/>
      </c>
      <c r="H92" s="19" t="str">
        <f aca="false">IF($E92="","",$E92+H$5)</f>
        <v/>
      </c>
      <c r="I92" s="19" t="str">
        <f aca="false">IF($E92="","",$E92+I$5)</f>
        <v/>
      </c>
      <c r="J92" s="19" t="str">
        <f aca="false">IF($E92="","",$E92+J$5)</f>
        <v/>
      </c>
      <c r="K92" s="19" t="str">
        <f aca="false">IF($E92="","",$E92+K$5)</f>
        <v/>
      </c>
      <c r="L92" s="23" t="str">
        <f aca="false">IF($F92="","",ROUND($H$3*$F92*G$5,0))</f>
        <v/>
      </c>
      <c r="M92" s="23" t="str">
        <f aca="false">IF($F92="","",ROUND($H$3*$F92*H$5,0))</f>
        <v/>
      </c>
      <c r="N92" s="23" t="str">
        <f aca="false">IF($F92="","",ROUND($H$3*$F92*I$5,0))</f>
        <v/>
      </c>
      <c r="O92" s="23" t="str">
        <f aca="false">IF($F92="","",ROUND($H$3*$F92*J$5,0))</f>
        <v/>
      </c>
      <c r="P92" s="23" t="str">
        <f aca="false">IF($F92="","",ROUND($H$3*$F92*K$5,0))</f>
        <v/>
      </c>
      <c r="Q92" s="4"/>
      <c r="R92" s="4"/>
      <c r="S92" s="4"/>
      <c r="T92" s="4"/>
    </row>
    <row r="93" customFormat="false" ht="15" hidden="false" customHeight="false" outlineLevel="0" collapsed="false">
      <c r="A93" s="8" t="str">
        <f aca="false">'Initial char'!A93</f>
        <v>Q4</v>
      </c>
      <c r="B93" s="8" t="n">
        <f aca="false">'Initial char'!B93</f>
        <v>14</v>
      </c>
      <c r="C93" s="8" t="n">
        <f aca="false">'Initial char'!C93</f>
        <v>14</v>
      </c>
      <c r="D93" s="8" t="str">
        <f aca="false">'Initial char'!D93</f>
        <v/>
      </c>
      <c r="E93" s="27" t="str">
        <f aca="false">IF('Initial char'!O93="","",'Initial char'!O93)</f>
        <v/>
      </c>
      <c r="F93" s="28" t="str">
        <f aca="false">IF('Initial char'!N93="","",'Initial char'!N93)</f>
        <v/>
      </c>
      <c r="G93" s="19" t="str">
        <f aca="false">IF($E93="","",$E93+G$5)</f>
        <v/>
      </c>
      <c r="H93" s="19" t="str">
        <f aca="false">IF($E93="","",$E93+H$5)</f>
        <v/>
      </c>
      <c r="I93" s="19" t="str">
        <f aca="false">IF($E93="","",$E93+I$5)</f>
        <v/>
      </c>
      <c r="J93" s="19" t="str">
        <f aca="false">IF($E93="","",$E93+J$5)</f>
        <v/>
      </c>
      <c r="K93" s="19" t="str">
        <f aca="false">IF($E93="","",$E93+K$5)</f>
        <v/>
      </c>
      <c r="L93" s="23" t="str">
        <f aca="false">IF($F93="","",ROUND($H$3*$F93*G$5,0))</f>
        <v/>
      </c>
      <c r="M93" s="23" t="str">
        <f aca="false">IF($F93="","",ROUND($H$3*$F93*H$5,0))</f>
        <v/>
      </c>
      <c r="N93" s="23" t="str">
        <f aca="false">IF($F93="","",ROUND($H$3*$F93*I$5,0))</f>
        <v/>
      </c>
      <c r="O93" s="23" t="str">
        <f aca="false">IF($F93="","",ROUND($H$3*$F93*J$5,0))</f>
        <v/>
      </c>
      <c r="P93" s="23" t="str">
        <f aca="false">IF($F93="","",ROUND($H$3*$F93*K$5,0))</f>
        <v/>
      </c>
      <c r="Q93" s="4"/>
      <c r="R93" s="4"/>
      <c r="S93" s="4"/>
      <c r="T93" s="4"/>
    </row>
    <row r="94" customFormat="false" ht="15" hidden="false" customHeight="false" outlineLevel="0" collapsed="false">
      <c r="A94" s="8" t="str">
        <f aca="false">'Initial char'!A94</f>
        <v>Q4</v>
      </c>
      <c r="B94" s="8" t="n">
        <f aca="false">'Initial char'!B94</f>
        <v>15</v>
      </c>
      <c r="C94" s="8" t="n">
        <f aca="false">'Initial char'!C94</f>
        <v>15</v>
      </c>
      <c r="D94" s="8" t="str">
        <f aca="false">'Initial char'!D94</f>
        <v/>
      </c>
      <c r="E94" s="27" t="str">
        <f aca="false">IF('Initial char'!O94="","",'Initial char'!O94)</f>
        <v/>
      </c>
      <c r="F94" s="28" t="str">
        <f aca="false">IF('Initial char'!N94="","",'Initial char'!N94)</f>
        <v/>
      </c>
      <c r="G94" s="19" t="str">
        <f aca="false">IF($E94="","",$E94+G$5)</f>
        <v/>
      </c>
      <c r="H94" s="19" t="str">
        <f aca="false">IF($E94="","",$E94+H$5)</f>
        <v/>
      </c>
      <c r="I94" s="19" t="str">
        <f aca="false">IF($E94="","",$E94+I$5)</f>
        <v/>
      </c>
      <c r="J94" s="19" t="str">
        <f aca="false">IF($E94="","",$E94+J$5)</f>
        <v/>
      </c>
      <c r="K94" s="19" t="str">
        <f aca="false">IF($E94="","",$E94+K$5)</f>
        <v/>
      </c>
      <c r="L94" s="23" t="str">
        <f aca="false">IF($F94="","",ROUND($H$3*$F94*G$5,0))</f>
        <v/>
      </c>
      <c r="M94" s="23" t="str">
        <f aca="false">IF($F94="","",ROUND($H$3*$F94*H$5,0))</f>
        <v/>
      </c>
      <c r="N94" s="23" t="str">
        <f aca="false">IF($F94="","",ROUND($H$3*$F94*I$5,0))</f>
        <v/>
      </c>
      <c r="O94" s="23" t="str">
        <f aca="false">IF($F94="","",ROUND($H$3*$F94*J$5,0))</f>
        <v/>
      </c>
      <c r="P94" s="23" t="str">
        <f aca="false">IF($F94="","",ROUND($H$3*$F94*K$5,0))</f>
        <v/>
      </c>
      <c r="Q94" s="4"/>
      <c r="R94" s="4"/>
      <c r="S94" s="4"/>
      <c r="T94" s="4"/>
    </row>
    <row r="95" customFormat="false" ht="15" hidden="false" customHeight="false" outlineLevel="0" collapsed="false">
      <c r="A95" s="8" t="str">
        <f aca="false">'Initial char'!A95</f>
        <v>Q4</v>
      </c>
      <c r="B95" s="8" t="n">
        <f aca="false">'Initial char'!B95</f>
        <v>16</v>
      </c>
      <c r="C95" s="8" t="n">
        <f aca="false">'Initial char'!C95</f>
        <v>16</v>
      </c>
      <c r="D95" s="8" t="str">
        <f aca="false">'Initial char'!D95</f>
        <v/>
      </c>
      <c r="E95" s="27" t="str">
        <f aca="false">IF('Initial char'!O95="","",'Initial char'!O95)</f>
        <v/>
      </c>
      <c r="F95" s="28" t="str">
        <f aca="false">IF('Initial char'!N95="","",'Initial char'!N95)</f>
        <v/>
      </c>
      <c r="G95" s="19" t="str">
        <f aca="false">IF($E95="","",$E95+G$5)</f>
        <v/>
      </c>
      <c r="H95" s="19" t="str">
        <f aca="false">IF($E95="","",$E95+H$5)</f>
        <v/>
      </c>
      <c r="I95" s="19" t="str">
        <f aca="false">IF($E95="","",$E95+I$5)</f>
        <v/>
      </c>
      <c r="J95" s="19" t="str">
        <f aca="false">IF($E95="","",$E95+J$5)</f>
        <v/>
      </c>
      <c r="K95" s="19" t="str">
        <f aca="false">IF($E95="","",$E95+K$5)</f>
        <v/>
      </c>
      <c r="L95" s="23" t="str">
        <f aca="false">IF($F95="","",ROUND($H$3*$F95*G$5,0))</f>
        <v/>
      </c>
      <c r="M95" s="23" t="str">
        <f aca="false">IF($F95="","",ROUND($H$3*$F95*H$5,0))</f>
        <v/>
      </c>
      <c r="N95" s="23" t="str">
        <f aca="false">IF($F95="","",ROUND($H$3*$F95*I$5,0))</f>
        <v/>
      </c>
      <c r="O95" s="23" t="str">
        <f aca="false">IF($F95="","",ROUND($H$3*$F95*J$5,0))</f>
        <v/>
      </c>
      <c r="P95" s="23" t="str">
        <f aca="false">IF($F95="","",ROUND($H$3*$F95*K$5,0))</f>
        <v/>
      </c>
      <c r="Q95" s="4"/>
      <c r="R95" s="4"/>
      <c r="S95" s="4"/>
      <c r="T95" s="4"/>
    </row>
    <row r="96" customFormat="false" ht="15" hidden="false" customHeight="false" outlineLevel="0" collapsed="false">
      <c r="A96" s="8" t="str">
        <f aca="false">'Initial char'!A96</f>
        <v>Q4</v>
      </c>
      <c r="B96" s="8" t="n">
        <f aca="false">'Initial char'!B96</f>
        <v>23</v>
      </c>
      <c r="C96" s="8" t="n">
        <f aca="false">'Initial char'!C96</f>
        <v>23</v>
      </c>
      <c r="D96" s="8" t="str">
        <f aca="false">'Initial char'!D96</f>
        <v/>
      </c>
      <c r="E96" s="27" t="str">
        <f aca="false">IF('Initial char'!O96="","",'Initial char'!O96)</f>
        <v/>
      </c>
      <c r="F96" s="28" t="str">
        <f aca="false">IF('Initial char'!N96="","",'Initial char'!N96)</f>
        <v/>
      </c>
      <c r="G96" s="19" t="str">
        <f aca="false">IF($E96="","",$E96+G$5)</f>
        <v/>
      </c>
      <c r="H96" s="19" t="str">
        <f aca="false">IF($E96="","",$E96+H$5)</f>
        <v/>
      </c>
      <c r="I96" s="19" t="str">
        <f aca="false">IF($E96="","",$E96+I$5)</f>
        <v/>
      </c>
      <c r="J96" s="19" t="str">
        <f aca="false">IF($E96="","",$E96+J$5)</f>
        <v/>
      </c>
      <c r="K96" s="19" t="str">
        <f aca="false">IF($E96="","",$E96+K$5)</f>
        <v/>
      </c>
      <c r="L96" s="23" t="str">
        <f aca="false">IF($F96="","",ROUND($H$3*$F96*G$5,0))</f>
        <v/>
      </c>
      <c r="M96" s="23" t="str">
        <f aca="false">IF($F96="","",ROUND($H$3*$F96*H$5,0))</f>
        <v/>
      </c>
      <c r="N96" s="23" t="str">
        <f aca="false">IF($F96="","",ROUND($H$3*$F96*I$5,0))</f>
        <v/>
      </c>
      <c r="O96" s="23" t="str">
        <f aca="false">IF($F96="","",ROUND($H$3*$F96*J$5,0))</f>
        <v/>
      </c>
      <c r="P96" s="23" t="str">
        <f aca="false">IF($F96="","",ROUND($H$3*$F96*K$5,0))</f>
        <v/>
      </c>
      <c r="Q96" s="4"/>
      <c r="R96" s="4"/>
      <c r="S96" s="4"/>
      <c r="T96" s="4"/>
    </row>
    <row r="97" customFormat="false" ht="15" hidden="false" customHeight="false" outlineLevel="0" collapsed="false">
      <c r="A97" s="8" t="str">
        <f aca="false">'Initial char'!A97</f>
        <v>Q4</v>
      </c>
      <c r="B97" s="8" t="n">
        <f aca="false">'Initial char'!B97</f>
        <v>24</v>
      </c>
      <c r="C97" s="8" t="n">
        <f aca="false">'Initial char'!C97</f>
        <v>24</v>
      </c>
      <c r="D97" s="8" t="str">
        <f aca="false">'Initial char'!D97</f>
        <v/>
      </c>
      <c r="E97" s="27" t="str">
        <f aca="false">IF('Initial char'!O97="","",'Initial char'!O97)</f>
        <v/>
      </c>
      <c r="F97" s="28" t="str">
        <f aca="false">IF('Initial char'!N97="","",'Initial char'!N97)</f>
        <v/>
      </c>
      <c r="G97" s="19" t="str">
        <f aca="false">IF($E97="","",$E97+G$5)</f>
        <v/>
      </c>
      <c r="H97" s="19" t="str">
        <f aca="false">IF($E97="","",$E97+H$5)</f>
        <v/>
      </c>
      <c r="I97" s="19" t="str">
        <f aca="false">IF($E97="","",$E97+I$5)</f>
        <v/>
      </c>
      <c r="J97" s="19" t="str">
        <f aca="false">IF($E97="","",$E97+J$5)</f>
        <v/>
      </c>
      <c r="K97" s="19" t="str">
        <f aca="false">IF($E97="","",$E97+K$5)</f>
        <v/>
      </c>
      <c r="L97" s="23" t="str">
        <f aca="false">IF($F97="","",ROUND($H$3*$F97*G$5,0))</f>
        <v/>
      </c>
      <c r="M97" s="23" t="str">
        <f aca="false">IF($F97="","",ROUND($H$3*$F97*H$5,0))</f>
        <v/>
      </c>
      <c r="N97" s="23" t="str">
        <f aca="false">IF($F97="","",ROUND($H$3*$F97*I$5,0))</f>
        <v/>
      </c>
      <c r="O97" s="23" t="str">
        <f aca="false">IF($F97="","",ROUND($H$3*$F97*J$5,0))</f>
        <v/>
      </c>
      <c r="P97" s="23" t="str">
        <f aca="false">IF($F97="","",ROUND($H$3*$F97*K$5,0))</f>
        <v/>
      </c>
      <c r="Q97" s="4"/>
      <c r="R97" s="4"/>
      <c r="S97" s="4"/>
      <c r="T97" s="4"/>
    </row>
    <row r="98" customFormat="false" ht="15" hidden="false" customHeight="false" outlineLevel="0" collapsed="false">
      <c r="A98" s="8" t="str">
        <f aca="false">'Initial char'!A98</f>
        <v>Q4</v>
      </c>
      <c r="B98" s="8" t="n">
        <f aca="false">'Initial char'!B98</f>
        <v>25</v>
      </c>
      <c r="C98" s="8" t="n">
        <f aca="false">'Initial char'!C98</f>
        <v>25</v>
      </c>
      <c r="D98" s="8" t="str">
        <f aca="false">'Initial char'!D98</f>
        <v/>
      </c>
      <c r="E98" s="27" t="str">
        <f aca="false">IF('Initial char'!O98="","",'Initial char'!O98)</f>
        <v/>
      </c>
      <c r="F98" s="28" t="str">
        <f aca="false">IF('Initial char'!N98="","",'Initial char'!N98)</f>
        <v/>
      </c>
      <c r="G98" s="19" t="str">
        <f aca="false">IF($E98="","",$E98+G$5)</f>
        <v/>
      </c>
      <c r="H98" s="19" t="str">
        <f aca="false">IF($E98="","",$E98+H$5)</f>
        <v/>
      </c>
      <c r="I98" s="19" t="str">
        <f aca="false">IF($E98="","",$E98+I$5)</f>
        <v/>
      </c>
      <c r="J98" s="19" t="str">
        <f aca="false">IF($E98="","",$E98+J$5)</f>
        <v/>
      </c>
      <c r="K98" s="19" t="str">
        <f aca="false">IF($E98="","",$E98+K$5)</f>
        <v/>
      </c>
      <c r="L98" s="23" t="str">
        <f aca="false">IF($F98="","",ROUND($H$3*$F98*G$5,0))</f>
        <v/>
      </c>
      <c r="M98" s="23" t="str">
        <f aca="false">IF($F98="","",ROUND($H$3*$F98*H$5,0))</f>
        <v/>
      </c>
      <c r="N98" s="23" t="str">
        <f aca="false">IF($F98="","",ROUND($H$3*$F98*I$5,0))</f>
        <v/>
      </c>
      <c r="O98" s="23" t="str">
        <f aca="false">IF($F98="","",ROUND($H$3*$F98*J$5,0))</f>
        <v/>
      </c>
      <c r="P98" s="23" t="str">
        <f aca="false">IF($F98="","",ROUND($H$3*$F98*K$5,0))</f>
        <v/>
      </c>
      <c r="Q98" s="4"/>
      <c r="R98" s="4"/>
      <c r="S98" s="4"/>
      <c r="T98" s="4"/>
    </row>
    <row r="99" customFormat="false" ht="15" hidden="false" customHeight="false" outlineLevel="0" collapsed="false">
      <c r="A99" s="8" t="str">
        <f aca="false">'Initial char'!A99</f>
        <v>Q4</v>
      </c>
      <c r="B99" s="8" t="n">
        <f aca="false">'Initial char'!B99</f>
        <v>26</v>
      </c>
      <c r="C99" s="8" t="n">
        <f aca="false">'Initial char'!C99</f>
        <v>26</v>
      </c>
      <c r="D99" s="8" t="str">
        <f aca="false">'Initial char'!D99</f>
        <v/>
      </c>
      <c r="E99" s="27" t="str">
        <f aca="false">IF('Initial char'!O99="","",'Initial char'!O99)</f>
        <v/>
      </c>
      <c r="F99" s="28" t="str">
        <f aca="false">IF('Initial char'!N99="","",'Initial char'!N99)</f>
        <v/>
      </c>
      <c r="G99" s="19" t="str">
        <f aca="false">IF($E99="","",$E99+G$5)</f>
        <v/>
      </c>
      <c r="H99" s="19" t="str">
        <f aca="false">IF($E99="","",$E99+H$5)</f>
        <v/>
      </c>
      <c r="I99" s="19" t="str">
        <f aca="false">IF($E99="","",$E99+I$5)</f>
        <v/>
      </c>
      <c r="J99" s="19" t="str">
        <f aca="false">IF($E99="","",$E99+J$5)</f>
        <v/>
      </c>
      <c r="K99" s="19" t="str">
        <f aca="false">IF($E99="","",$E99+K$5)</f>
        <v/>
      </c>
      <c r="L99" s="23" t="str">
        <f aca="false">IF($F99="","",ROUND($H$3*$F99*G$5,0))</f>
        <v/>
      </c>
      <c r="M99" s="23" t="str">
        <f aca="false">IF($F99="","",ROUND($H$3*$F99*H$5,0))</f>
        <v/>
      </c>
      <c r="N99" s="23" t="str">
        <f aca="false">IF($F99="","",ROUND($H$3*$F99*I$5,0))</f>
        <v/>
      </c>
      <c r="O99" s="23" t="str">
        <f aca="false">IF($F99="","",ROUND($H$3*$F99*J$5,0))</f>
        <v/>
      </c>
      <c r="P99" s="23" t="str">
        <f aca="false">IF($F99="","",ROUND($H$3*$F99*K$5,0))</f>
        <v/>
      </c>
      <c r="Q99" s="4"/>
      <c r="R99" s="4"/>
      <c r="S99" s="4"/>
      <c r="T99" s="4"/>
    </row>
    <row r="100" customFormat="false" ht="15" hidden="false" customHeight="false" outlineLevel="0" collapsed="false">
      <c r="A100" s="8" t="str">
        <f aca="false">'Initial char'!A100</f>
        <v>Q4</v>
      </c>
      <c r="B100" s="8" t="n">
        <f aca="false">'Initial char'!B100</f>
        <v>27</v>
      </c>
      <c r="C100" s="8" t="n">
        <f aca="false">'Initial char'!C100</f>
        <v>27</v>
      </c>
      <c r="D100" s="8" t="str">
        <f aca="false">'Initial char'!D100</f>
        <v/>
      </c>
      <c r="E100" s="27" t="str">
        <f aca="false">IF('Initial char'!O100="","",'Initial char'!O100)</f>
        <v/>
      </c>
      <c r="F100" s="28" t="str">
        <f aca="false">IF('Initial char'!N100="","",'Initial char'!N100)</f>
        <v/>
      </c>
      <c r="G100" s="19" t="str">
        <f aca="false">IF($E100="","",$E100+G$5)</f>
        <v/>
      </c>
      <c r="H100" s="19" t="str">
        <f aca="false">IF($E100="","",$E100+H$5)</f>
        <v/>
      </c>
      <c r="I100" s="19" t="str">
        <f aca="false">IF($E100="","",$E100+I$5)</f>
        <v/>
      </c>
      <c r="J100" s="19" t="str">
        <f aca="false">IF($E100="","",$E100+J$5)</f>
        <v/>
      </c>
      <c r="K100" s="19" t="str">
        <f aca="false">IF($E100="","",$E100+K$5)</f>
        <v/>
      </c>
      <c r="L100" s="23" t="str">
        <f aca="false">IF($F100="","",ROUND($H$3*$F100*G$5,0))</f>
        <v/>
      </c>
      <c r="M100" s="23" t="str">
        <f aca="false">IF($F100="","",ROUND($H$3*$F100*H$5,0))</f>
        <v/>
      </c>
      <c r="N100" s="23" t="str">
        <f aca="false">IF($F100="","",ROUND($H$3*$F100*I$5,0))</f>
        <v/>
      </c>
      <c r="O100" s="23" t="str">
        <f aca="false">IF($F100="","",ROUND($H$3*$F100*J$5,0))</f>
        <v/>
      </c>
      <c r="P100" s="23" t="str">
        <f aca="false">IF($F100="","",ROUND($H$3*$F100*K$5,0))</f>
        <v/>
      </c>
      <c r="Q100" s="4"/>
      <c r="R100" s="4"/>
      <c r="S100" s="4"/>
      <c r="T100" s="4"/>
    </row>
    <row r="101" customFormat="false" ht="15" hidden="false" customHeight="false" outlineLevel="0" collapsed="false">
      <c r="A101" s="8" t="str">
        <f aca="false">'Initial char'!A101</f>
        <v>Q4</v>
      </c>
      <c r="B101" s="8" t="n">
        <f aca="false">'Initial char'!B101</f>
        <v>28</v>
      </c>
      <c r="C101" s="8" t="n">
        <f aca="false">'Initial char'!C101</f>
        <v>28</v>
      </c>
      <c r="D101" s="8" t="str">
        <f aca="false">'Initial char'!D101</f>
        <v/>
      </c>
      <c r="E101" s="27" t="str">
        <f aca="false">IF('Initial char'!O101="","",'Initial char'!O101)</f>
        <v/>
      </c>
      <c r="F101" s="28" t="str">
        <f aca="false">IF('Initial char'!N101="","",'Initial char'!N101)</f>
        <v/>
      </c>
      <c r="G101" s="19" t="str">
        <f aca="false">IF($E101="","",$E101+G$5)</f>
        <v/>
      </c>
      <c r="H101" s="19" t="str">
        <f aca="false">IF($E101="","",$E101+H$5)</f>
        <v/>
      </c>
      <c r="I101" s="19" t="str">
        <f aca="false">IF($E101="","",$E101+I$5)</f>
        <v/>
      </c>
      <c r="J101" s="19" t="str">
        <f aca="false">IF($E101="","",$E101+J$5)</f>
        <v/>
      </c>
      <c r="K101" s="19" t="str">
        <f aca="false">IF($E101="","",$E101+K$5)</f>
        <v/>
      </c>
      <c r="L101" s="23" t="str">
        <f aca="false">IF($F101="","",ROUND($H$3*$F101*G$5,0))</f>
        <v/>
      </c>
      <c r="M101" s="23" t="str">
        <f aca="false">IF($F101="","",ROUND($H$3*$F101*H$5,0))</f>
        <v/>
      </c>
      <c r="N101" s="23" t="str">
        <f aca="false">IF($F101="","",ROUND($H$3*$F101*I$5,0))</f>
        <v/>
      </c>
      <c r="O101" s="23" t="str">
        <f aca="false">IF($F101="","",ROUND($H$3*$F101*J$5,0))</f>
        <v/>
      </c>
      <c r="P101" s="23" t="str">
        <f aca="false">IF($F101="","",ROUND($H$3*$F101*K$5,0))</f>
        <v/>
      </c>
      <c r="Q101" s="4"/>
      <c r="R101" s="4"/>
      <c r="S101" s="4"/>
      <c r="T101" s="4"/>
    </row>
    <row r="102" customFormat="false" ht="15" hidden="false" customHeight="false" outlineLevel="0" collapsed="false">
      <c r="A102" s="8" t="str">
        <f aca="false">'Initial char'!A102</f>
        <v>Q4</v>
      </c>
      <c r="B102" s="8" t="n">
        <f aca="false">'Initial char'!B102</f>
        <v>29</v>
      </c>
      <c r="C102" s="8" t="n">
        <f aca="false">'Initial char'!C102</f>
        <v>29</v>
      </c>
      <c r="D102" s="8" t="str">
        <f aca="false">'Initial char'!D102</f>
        <v/>
      </c>
      <c r="E102" s="27" t="str">
        <f aca="false">IF('Initial char'!O102="","",'Initial char'!O102)</f>
        <v/>
      </c>
      <c r="F102" s="28" t="str">
        <f aca="false">IF('Initial char'!N102="","",'Initial char'!N102)</f>
        <v/>
      </c>
      <c r="G102" s="19" t="str">
        <f aca="false">IF($E102="","",$E102+G$5)</f>
        <v/>
      </c>
      <c r="H102" s="19" t="str">
        <f aca="false">IF($E102="","",$E102+H$5)</f>
        <v/>
      </c>
      <c r="I102" s="19" t="str">
        <f aca="false">IF($E102="","",$E102+I$5)</f>
        <v/>
      </c>
      <c r="J102" s="19" t="str">
        <f aca="false">IF($E102="","",$E102+J$5)</f>
        <v/>
      </c>
      <c r="K102" s="19" t="str">
        <f aca="false">IF($E102="","",$E102+K$5)</f>
        <v/>
      </c>
      <c r="L102" s="23" t="str">
        <f aca="false">IF($F102="","",ROUND($H$3*$F102*G$5,0))</f>
        <v/>
      </c>
      <c r="M102" s="23" t="str">
        <f aca="false">IF($F102="","",ROUND($H$3*$F102*H$5,0))</f>
        <v/>
      </c>
      <c r="N102" s="23" t="str">
        <f aca="false">IF($F102="","",ROUND($H$3*$F102*I$5,0))</f>
        <v/>
      </c>
      <c r="O102" s="23" t="str">
        <f aca="false">IF($F102="","",ROUND($H$3*$F102*J$5,0))</f>
        <v/>
      </c>
      <c r="P102" s="23" t="str">
        <f aca="false">IF($F102="","",ROUND($H$3*$F102*K$5,0))</f>
        <v/>
      </c>
      <c r="Q102" s="4"/>
      <c r="R102" s="4"/>
      <c r="S102" s="4"/>
      <c r="T102" s="4"/>
    </row>
    <row r="103" customFormat="false" ht="15" hidden="false" customHeight="false" outlineLevel="0" collapsed="false">
      <c r="A103" s="8" t="str">
        <f aca="false">'Initial char'!A103</f>
        <v>Q4</v>
      </c>
      <c r="B103" s="8" t="n">
        <f aca="false">'Initial char'!B103</f>
        <v>30</v>
      </c>
      <c r="C103" s="8" t="n">
        <f aca="false">'Initial char'!C103</f>
        <v>30</v>
      </c>
      <c r="D103" s="8" t="str">
        <f aca="false">'Initial char'!D103</f>
        <v/>
      </c>
      <c r="E103" s="27" t="str">
        <f aca="false">IF('Initial char'!O103="","",'Initial char'!O103)</f>
        <v/>
      </c>
      <c r="F103" s="28" t="str">
        <f aca="false">IF('Initial char'!N103="","",'Initial char'!N103)</f>
        <v/>
      </c>
      <c r="G103" s="19" t="str">
        <f aca="false">IF($E103="","",$E103+G$5)</f>
        <v/>
      </c>
      <c r="H103" s="19" t="str">
        <f aca="false">IF($E103="","",$E103+H$5)</f>
        <v/>
      </c>
      <c r="I103" s="19" t="str">
        <f aca="false">IF($E103="","",$E103+I$5)</f>
        <v/>
      </c>
      <c r="J103" s="19" t="str">
        <f aca="false">IF($E103="","",$E103+J$5)</f>
        <v/>
      </c>
      <c r="K103" s="19" t="str">
        <f aca="false">IF($E103="","",$E103+K$5)</f>
        <v/>
      </c>
      <c r="L103" s="23" t="str">
        <f aca="false">IF($F103="","",ROUND($H$3*$F103*G$5,0))</f>
        <v/>
      </c>
      <c r="M103" s="23" t="str">
        <f aca="false">IF($F103="","",ROUND($H$3*$F103*H$5,0))</f>
        <v/>
      </c>
      <c r="N103" s="23" t="str">
        <f aca="false">IF($F103="","",ROUND($H$3*$F103*I$5,0))</f>
        <v/>
      </c>
      <c r="O103" s="23" t="str">
        <f aca="false">IF($F103="","",ROUND($H$3*$F103*J$5,0))</f>
        <v/>
      </c>
      <c r="P103" s="23" t="str">
        <f aca="false">IF($F103="","",ROUND($H$3*$F103*K$5,0))</f>
        <v/>
      </c>
      <c r="Q103" s="4"/>
      <c r="R103" s="4"/>
      <c r="S103" s="4"/>
      <c r="T103" s="4"/>
    </row>
  </sheetData>
  <dataValidations count="1">
    <dataValidation allowBlank="true" operator="between" showDropDown="false" showErrorMessage="false" showInputMessage="false" sqref="R8:R103" type="list">
      <formula1>"Y,N"</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M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3" min="2" style="0" width="8"/>
    <col collapsed="false" customWidth="true" hidden="false" outlineLevel="0" max="4" min="4" style="0" width="14"/>
    <col collapsed="false" customWidth="true" hidden="false" outlineLevel="0" max="5" min="5" style="0" width="11"/>
    <col collapsed="false" customWidth="true" hidden="false" outlineLevel="0" max="6" min="6" style="0" width="12"/>
    <col collapsed="false" customWidth="true" hidden="false" outlineLevel="0" max="7" min="7" style="0" width="16"/>
    <col collapsed="false" customWidth="true" hidden="false" outlineLevel="0" max="8" min="8" style="0" width="44"/>
    <col collapsed="false" customWidth="true" hidden="false" outlineLevel="0" max="9" min="9" style="0" width="34"/>
    <col collapsed="false" customWidth="true" hidden="false" outlineLevel="0" max="10" min="10" style="0" width="26"/>
    <col collapsed="false" customWidth="true" hidden="false" outlineLevel="0" max="11" min="11" style="0" width="34"/>
    <col collapsed="false" customWidth="true" hidden="false" outlineLevel="0" max="12" min="12" style="0" width="28"/>
    <col collapsed="false" customWidth="true" hidden="false" outlineLevel="0" max="13" min="13" style="0" width="12"/>
  </cols>
  <sheetData>
    <row r="1" customFormat="false" ht="15" hidden="false" customHeight="false" outlineLevel="0" collapsed="false">
      <c r="A1" s="3" t="s">
        <v>122</v>
      </c>
    </row>
    <row r="2" customFormat="false" ht="15" hidden="false" customHeight="false" outlineLevel="0" collapsed="false">
      <c r="A2" s="15" t="s">
        <v>123</v>
      </c>
    </row>
    <row r="4" customFormat="false" ht="42" hidden="false" customHeight="true" outlineLevel="0" collapsed="false">
      <c r="A4" s="10" t="s">
        <v>60</v>
      </c>
      <c r="B4" s="10" t="s">
        <v>124</v>
      </c>
      <c r="C4" s="10" t="s">
        <v>125</v>
      </c>
      <c r="D4" s="10" t="s">
        <v>126</v>
      </c>
      <c r="E4" s="10" t="s">
        <v>74</v>
      </c>
      <c r="F4" s="10" t="s">
        <v>127</v>
      </c>
      <c r="G4" s="10" t="s">
        <v>128</v>
      </c>
      <c r="H4" s="10" t="s">
        <v>129</v>
      </c>
      <c r="I4" s="10" t="s">
        <v>130</v>
      </c>
      <c r="J4" s="10" t="s">
        <v>98</v>
      </c>
      <c r="K4" s="10" t="s">
        <v>131</v>
      </c>
      <c r="L4" s="10" t="s">
        <v>132</v>
      </c>
      <c r="M4" s="10" t="s">
        <v>133</v>
      </c>
    </row>
    <row r="5" customFormat="false" ht="42" hidden="false" customHeight="true" outlineLevel="0" collapsed="false">
      <c r="A5" s="29" t="s">
        <v>67</v>
      </c>
      <c r="B5" s="29" t="s">
        <v>134</v>
      </c>
      <c r="C5" s="29" t="s">
        <v>135</v>
      </c>
      <c r="D5" s="29" t="s">
        <v>136</v>
      </c>
      <c r="E5" s="29" t="n">
        <v>165</v>
      </c>
      <c r="F5" s="29" t="s">
        <v>63</v>
      </c>
      <c r="G5" s="29" t="s">
        <v>137</v>
      </c>
      <c r="H5" s="29" t="s">
        <v>138</v>
      </c>
      <c r="I5" s="29" t="s">
        <v>139</v>
      </c>
      <c r="J5" s="29" t="s">
        <v>140</v>
      </c>
      <c r="K5" s="29" t="s">
        <v>141</v>
      </c>
      <c r="L5" s="29" t="s">
        <v>142</v>
      </c>
      <c r="M5" s="29" t="s">
        <v>65</v>
      </c>
    </row>
    <row r="6" customFormat="false" ht="15" hidden="false" customHeight="false" outlineLevel="0" collapsed="false">
      <c r="A6" s="30"/>
      <c r="B6" s="31"/>
      <c r="C6" s="31"/>
      <c r="D6" s="31"/>
      <c r="E6" s="31"/>
      <c r="F6" s="31"/>
      <c r="G6" s="31"/>
      <c r="H6" s="31"/>
      <c r="I6" s="31"/>
      <c r="J6" s="31"/>
      <c r="K6" s="31"/>
      <c r="L6" s="31"/>
      <c r="M6" s="31"/>
    </row>
    <row r="7" customFormat="false" ht="15" hidden="false" customHeight="false" outlineLevel="0" collapsed="false">
      <c r="A7" s="30"/>
      <c r="B7" s="31"/>
      <c r="C7" s="31"/>
      <c r="D7" s="31"/>
      <c r="E7" s="31"/>
      <c r="F7" s="31"/>
      <c r="G7" s="31"/>
      <c r="H7" s="31"/>
      <c r="I7" s="31"/>
      <c r="J7" s="31"/>
      <c r="K7" s="31"/>
      <c r="L7" s="31"/>
      <c r="M7" s="31"/>
    </row>
    <row r="8" customFormat="false" ht="15" hidden="false" customHeight="false" outlineLevel="0" collapsed="false">
      <c r="A8" s="30"/>
      <c r="B8" s="31"/>
      <c r="C8" s="31"/>
      <c r="D8" s="31"/>
      <c r="E8" s="31"/>
      <c r="F8" s="31"/>
      <c r="G8" s="31"/>
      <c r="H8" s="31"/>
      <c r="I8" s="31"/>
      <c r="J8" s="31"/>
      <c r="K8" s="31"/>
      <c r="L8" s="31"/>
      <c r="M8" s="31"/>
    </row>
    <row r="9" customFormat="false" ht="15" hidden="false" customHeight="false" outlineLevel="0" collapsed="false">
      <c r="A9" s="30"/>
      <c r="B9" s="31"/>
      <c r="C9" s="31"/>
      <c r="D9" s="31"/>
      <c r="E9" s="31"/>
      <c r="F9" s="31"/>
      <c r="G9" s="31"/>
      <c r="H9" s="31"/>
      <c r="I9" s="31"/>
      <c r="J9" s="31"/>
      <c r="K9" s="31"/>
      <c r="L9" s="31"/>
      <c r="M9" s="31"/>
    </row>
    <row r="10" customFormat="false" ht="15" hidden="false" customHeight="false" outlineLevel="0" collapsed="false">
      <c r="A10" s="30"/>
      <c r="B10" s="31"/>
      <c r="C10" s="31"/>
      <c r="D10" s="31"/>
      <c r="E10" s="31"/>
      <c r="F10" s="31"/>
      <c r="G10" s="31"/>
      <c r="H10" s="31"/>
      <c r="I10" s="31"/>
      <c r="J10" s="31"/>
      <c r="K10" s="31"/>
      <c r="L10" s="31"/>
      <c r="M10" s="31"/>
    </row>
    <row r="11" customFormat="false" ht="15" hidden="false" customHeight="false" outlineLevel="0" collapsed="false">
      <c r="A11" s="30"/>
      <c r="B11" s="31"/>
      <c r="C11" s="31"/>
      <c r="D11" s="31"/>
      <c r="E11" s="31"/>
      <c r="F11" s="31"/>
      <c r="G11" s="31"/>
      <c r="H11" s="31"/>
      <c r="I11" s="31"/>
      <c r="J11" s="31"/>
      <c r="K11" s="31"/>
      <c r="L11" s="31"/>
      <c r="M11" s="31"/>
    </row>
    <row r="12" customFormat="false" ht="15" hidden="false" customHeight="false" outlineLevel="0" collapsed="false">
      <c r="A12" s="30"/>
      <c r="B12" s="31"/>
      <c r="C12" s="31"/>
      <c r="D12" s="31"/>
      <c r="E12" s="31"/>
      <c r="F12" s="31"/>
      <c r="G12" s="31"/>
      <c r="H12" s="31"/>
      <c r="I12" s="31"/>
      <c r="J12" s="31"/>
      <c r="K12" s="31"/>
      <c r="L12" s="31"/>
      <c r="M12" s="31"/>
    </row>
    <row r="13" customFormat="false" ht="15" hidden="false" customHeight="false" outlineLevel="0" collapsed="false">
      <c r="A13" s="30"/>
      <c r="B13" s="31"/>
      <c r="C13" s="31"/>
      <c r="D13" s="31"/>
      <c r="E13" s="31"/>
      <c r="F13" s="31"/>
      <c r="G13" s="31"/>
      <c r="H13" s="31"/>
      <c r="I13" s="31"/>
      <c r="J13" s="31"/>
      <c r="K13" s="31"/>
      <c r="L13" s="31"/>
      <c r="M13" s="31"/>
    </row>
    <row r="14" customFormat="false" ht="15" hidden="false" customHeight="false" outlineLevel="0" collapsed="false">
      <c r="A14" s="30"/>
      <c r="B14" s="31"/>
      <c r="C14" s="31"/>
      <c r="D14" s="31"/>
      <c r="E14" s="31"/>
      <c r="F14" s="31"/>
      <c r="G14" s="31"/>
      <c r="H14" s="31"/>
      <c r="I14" s="31"/>
      <c r="J14" s="31"/>
      <c r="K14" s="31"/>
      <c r="L14" s="31"/>
      <c r="M14" s="31"/>
    </row>
    <row r="15" customFormat="false" ht="15" hidden="false" customHeight="false" outlineLevel="0" collapsed="false">
      <c r="A15" s="30"/>
      <c r="B15" s="31"/>
      <c r="C15" s="31"/>
      <c r="D15" s="31"/>
      <c r="E15" s="31"/>
      <c r="F15" s="31"/>
      <c r="G15" s="31"/>
      <c r="H15" s="31"/>
      <c r="I15" s="31"/>
      <c r="J15" s="31"/>
      <c r="K15" s="31"/>
      <c r="L15" s="31"/>
      <c r="M15" s="31"/>
    </row>
    <row r="16" customFormat="false" ht="15" hidden="false" customHeight="false" outlineLevel="0" collapsed="false">
      <c r="A16" s="30"/>
      <c r="B16" s="31"/>
      <c r="C16" s="31"/>
      <c r="D16" s="31"/>
      <c r="E16" s="31"/>
      <c r="F16" s="31"/>
      <c r="G16" s="31"/>
      <c r="H16" s="31"/>
      <c r="I16" s="31"/>
      <c r="J16" s="31"/>
      <c r="K16" s="31"/>
      <c r="L16" s="31"/>
      <c r="M16" s="31"/>
    </row>
    <row r="17" customFormat="false" ht="15" hidden="false" customHeight="false" outlineLevel="0" collapsed="false">
      <c r="A17" s="30"/>
      <c r="B17" s="31"/>
      <c r="C17" s="31"/>
      <c r="D17" s="31"/>
      <c r="E17" s="31"/>
      <c r="F17" s="31"/>
      <c r="G17" s="31"/>
      <c r="H17" s="31"/>
      <c r="I17" s="31"/>
      <c r="J17" s="31"/>
      <c r="K17" s="31"/>
      <c r="L17" s="31"/>
      <c r="M17" s="31"/>
    </row>
    <row r="18" customFormat="false" ht="15" hidden="false" customHeight="false" outlineLevel="0" collapsed="false">
      <c r="A18" s="30"/>
      <c r="B18" s="31"/>
      <c r="C18" s="31"/>
      <c r="D18" s="31"/>
      <c r="E18" s="31"/>
      <c r="F18" s="31"/>
      <c r="G18" s="31"/>
      <c r="H18" s="31"/>
      <c r="I18" s="31"/>
      <c r="J18" s="31"/>
      <c r="K18" s="31"/>
      <c r="L18" s="31"/>
      <c r="M18" s="31"/>
    </row>
    <row r="19" customFormat="false" ht="15" hidden="false" customHeight="false" outlineLevel="0" collapsed="false">
      <c r="A19" s="30"/>
      <c r="B19" s="31"/>
      <c r="C19" s="31"/>
      <c r="D19" s="31"/>
      <c r="E19" s="31"/>
      <c r="F19" s="31"/>
      <c r="G19" s="31"/>
      <c r="H19" s="31"/>
      <c r="I19" s="31"/>
      <c r="J19" s="31"/>
      <c r="K19" s="31"/>
      <c r="L19" s="31"/>
      <c r="M19" s="31"/>
    </row>
    <row r="20" customFormat="false" ht="15" hidden="false" customHeight="false" outlineLevel="0" collapsed="false">
      <c r="A20" s="30"/>
      <c r="B20" s="31"/>
      <c r="C20" s="31"/>
      <c r="D20" s="31"/>
      <c r="E20" s="31"/>
      <c r="F20" s="31"/>
      <c r="G20" s="31"/>
      <c r="H20" s="31"/>
      <c r="I20" s="31"/>
      <c r="J20" s="31"/>
      <c r="K20" s="31"/>
      <c r="L20" s="31"/>
      <c r="M20" s="31"/>
    </row>
    <row r="21" customFormat="false" ht="15" hidden="false" customHeight="false" outlineLevel="0" collapsed="false">
      <c r="A21" s="30"/>
      <c r="B21" s="31"/>
      <c r="C21" s="31"/>
      <c r="D21" s="31"/>
      <c r="E21" s="31"/>
      <c r="F21" s="31"/>
      <c r="G21" s="31"/>
      <c r="H21" s="31"/>
      <c r="I21" s="31"/>
      <c r="J21" s="31"/>
      <c r="K21" s="31"/>
      <c r="L21" s="31"/>
      <c r="M21" s="31"/>
    </row>
    <row r="22" customFormat="false" ht="15" hidden="false" customHeight="false" outlineLevel="0" collapsed="false">
      <c r="A22" s="30"/>
      <c r="B22" s="31"/>
      <c r="C22" s="31"/>
      <c r="D22" s="31"/>
      <c r="E22" s="31"/>
      <c r="F22" s="31"/>
      <c r="G22" s="31"/>
      <c r="H22" s="31"/>
      <c r="I22" s="31"/>
      <c r="J22" s="31"/>
      <c r="K22" s="31"/>
      <c r="L22" s="31"/>
      <c r="M22" s="31"/>
    </row>
    <row r="23" customFormat="false" ht="15" hidden="false" customHeight="false" outlineLevel="0" collapsed="false">
      <c r="A23" s="30"/>
      <c r="B23" s="31"/>
      <c r="C23" s="31"/>
      <c r="D23" s="31"/>
      <c r="E23" s="31"/>
      <c r="F23" s="31"/>
      <c r="G23" s="31"/>
      <c r="H23" s="31"/>
      <c r="I23" s="31"/>
      <c r="J23" s="31"/>
      <c r="K23" s="31"/>
      <c r="L23" s="31"/>
      <c r="M23" s="31"/>
    </row>
    <row r="24" customFormat="false" ht="15" hidden="false" customHeight="false" outlineLevel="0" collapsed="false">
      <c r="A24" s="30"/>
      <c r="B24" s="31"/>
      <c r="C24" s="31"/>
      <c r="D24" s="31"/>
      <c r="E24" s="31"/>
      <c r="F24" s="31"/>
      <c r="G24" s="31"/>
      <c r="H24" s="31"/>
      <c r="I24" s="31"/>
      <c r="J24" s="31"/>
      <c r="K24" s="31"/>
      <c r="L24" s="31"/>
      <c r="M24" s="31"/>
    </row>
    <row r="25" customFormat="false" ht="15" hidden="false" customHeight="false" outlineLevel="0" collapsed="false">
      <c r="A25" s="30"/>
      <c r="B25" s="31"/>
      <c r="C25" s="31"/>
      <c r="D25" s="31"/>
      <c r="E25" s="31"/>
      <c r="F25" s="31"/>
      <c r="G25" s="31"/>
      <c r="H25" s="31"/>
      <c r="I25" s="31"/>
      <c r="J25" s="31"/>
      <c r="K25" s="31"/>
      <c r="L25" s="31"/>
      <c r="M25" s="31"/>
    </row>
    <row r="26" customFormat="false" ht="15" hidden="false" customHeight="false" outlineLevel="0" collapsed="false">
      <c r="A26" s="30"/>
      <c r="B26" s="31"/>
      <c r="C26" s="31"/>
      <c r="D26" s="31"/>
      <c r="E26" s="31"/>
      <c r="F26" s="31"/>
      <c r="G26" s="31"/>
      <c r="H26" s="31"/>
      <c r="I26" s="31"/>
      <c r="J26" s="31"/>
      <c r="K26" s="31"/>
      <c r="L26" s="31"/>
      <c r="M26" s="31"/>
    </row>
    <row r="27" customFormat="false" ht="15" hidden="false" customHeight="false" outlineLevel="0" collapsed="false">
      <c r="A27" s="30"/>
      <c r="B27" s="31"/>
      <c r="C27" s="31"/>
      <c r="D27" s="31"/>
      <c r="E27" s="31"/>
      <c r="F27" s="31"/>
      <c r="G27" s="31"/>
      <c r="H27" s="31"/>
      <c r="I27" s="31"/>
      <c r="J27" s="31"/>
      <c r="K27" s="31"/>
      <c r="L27" s="31"/>
      <c r="M27" s="31"/>
    </row>
    <row r="28" customFormat="false" ht="15" hidden="false" customHeight="false" outlineLevel="0" collapsed="false">
      <c r="A28" s="30"/>
      <c r="B28" s="31"/>
      <c r="C28" s="31"/>
      <c r="D28" s="31"/>
      <c r="E28" s="31"/>
      <c r="F28" s="31"/>
      <c r="G28" s="31"/>
      <c r="H28" s="31"/>
      <c r="I28" s="31"/>
      <c r="J28" s="31"/>
      <c r="K28" s="31"/>
      <c r="L28" s="31"/>
      <c r="M28" s="31"/>
    </row>
    <row r="29" customFormat="false" ht="15" hidden="false" customHeight="false" outlineLevel="0" collapsed="false">
      <c r="A29" s="30"/>
      <c r="B29" s="31"/>
      <c r="C29" s="31"/>
      <c r="D29" s="31"/>
      <c r="E29" s="31"/>
      <c r="F29" s="31"/>
      <c r="G29" s="31"/>
      <c r="H29" s="31"/>
      <c r="I29" s="31"/>
      <c r="J29" s="31"/>
      <c r="K29" s="31"/>
      <c r="L29" s="31"/>
      <c r="M29" s="31"/>
    </row>
    <row r="30" customFormat="false" ht="15" hidden="false" customHeight="false" outlineLevel="0" collapsed="false">
      <c r="A30" s="30"/>
      <c r="B30" s="31"/>
      <c r="C30" s="31"/>
      <c r="D30" s="31"/>
      <c r="E30" s="31"/>
      <c r="F30" s="31"/>
      <c r="G30" s="31"/>
      <c r="H30" s="31"/>
      <c r="I30" s="31"/>
      <c r="J30" s="31"/>
      <c r="K30" s="31"/>
      <c r="L30" s="31"/>
      <c r="M30" s="31"/>
    </row>
    <row r="31" customFormat="false" ht="15" hidden="false" customHeight="false" outlineLevel="0" collapsed="false">
      <c r="A31" s="30"/>
      <c r="B31" s="31"/>
      <c r="C31" s="31"/>
      <c r="D31" s="31"/>
      <c r="E31" s="31"/>
      <c r="F31" s="31"/>
      <c r="G31" s="31"/>
      <c r="H31" s="31"/>
      <c r="I31" s="31"/>
      <c r="J31" s="31"/>
      <c r="K31" s="31"/>
      <c r="L31" s="31"/>
      <c r="M31" s="31"/>
    </row>
    <row r="32" customFormat="false" ht="15" hidden="false" customHeight="false" outlineLevel="0" collapsed="false">
      <c r="A32" s="30"/>
      <c r="B32" s="31"/>
      <c r="C32" s="31"/>
      <c r="D32" s="31"/>
      <c r="E32" s="31"/>
      <c r="F32" s="31"/>
      <c r="G32" s="31"/>
      <c r="H32" s="31"/>
      <c r="I32" s="31"/>
      <c r="J32" s="31"/>
      <c r="K32" s="31"/>
      <c r="L32" s="31"/>
      <c r="M32" s="31"/>
    </row>
    <row r="33" customFormat="false" ht="15" hidden="false" customHeight="false" outlineLevel="0" collapsed="false">
      <c r="A33" s="30"/>
      <c r="B33" s="31"/>
      <c r="C33" s="31"/>
      <c r="D33" s="31"/>
      <c r="E33" s="31"/>
      <c r="F33" s="31"/>
      <c r="G33" s="31"/>
      <c r="H33" s="31"/>
      <c r="I33" s="31"/>
      <c r="J33" s="31"/>
      <c r="K33" s="31"/>
      <c r="L33" s="31"/>
      <c r="M33" s="31"/>
    </row>
    <row r="34" customFormat="false" ht="15" hidden="false" customHeight="false" outlineLevel="0" collapsed="false">
      <c r="A34" s="30"/>
      <c r="B34" s="31"/>
      <c r="C34" s="31"/>
      <c r="D34" s="31"/>
      <c r="E34" s="31"/>
      <c r="F34" s="31"/>
      <c r="G34" s="31"/>
      <c r="H34" s="31"/>
      <c r="I34" s="31"/>
      <c r="J34" s="31"/>
      <c r="K34" s="31"/>
      <c r="L34" s="31"/>
      <c r="M34" s="31"/>
    </row>
    <row r="35" customFormat="false" ht="15" hidden="false" customHeight="false" outlineLevel="0" collapsed="false">
      <c r="A35" s="30"/>
      <c r="B35" s="31"/>
      <c r="C35" s="31"/>
      <c r="D35" s="31"/>
      <c r="E35" s="31"/>
      <c r="F35" s="31"/>
      <c r="G35" s="31"/>
      <c r="H35" s="31"/>
      <c r="I35" s="31"/>
      <c r="J35" s="31"/>
      <c r="K35" s="31"/>
      <c r="L35" s="31"/>
      <c r="M35" s="31"/>
    </row>
    <row r="36" customFormat="false" ht="15" hidden="false" customHeight="false" outlineLevel="0" collapsed="false">
      <c r="A36" s="30"/>
      <c r="B36" s="31"/>
      <c r="C36" s="31"/>
      <c r="D36" s="31"/>
      <c r="E36" s="31"/>
      <c r="F36" s="31"/>
      <c r="G36" s="31"/>
      <c r="H36" s="31"/>
      <c r="I36" s="31"/>
      <c r="J36" s="31"/>
      <c r="K36" s="31"/>
      <c r="L36" s="31"/>
      <c r="M36" s="31"/>
    </row>
    <row r="37" customFormat="false" ht="15" hidden="false" customHeight="false" outlineLevel="0" collapsed="false">
      <c r="A37" s="30"/>
      <c r="B37" s="31"/>
      <c r="C37" s="31"/>
      <c r="D37" s="31"/>
      <c r="E37" s="31"/>
      <c r="F37" s="31"/>
      <c r="G37" s="31"/>
      <c r="H37" s="31"/>
      <c r="I37" s="31"/>
      <c r="J37" s="31"/>
      <c r="K37" s="31"/>
      <c r="L37" s="31"/>
      <c r="M37" s="31"/>
    </row>
    <row r="38" customFormat="false" ht="15" hidden="false" customHeight="false" outlineLevel="0" collapsed="false">
      <c r="A38" s="30"/>
      <c r="B38" s="31"/>
      <c r="C38" s="31"/>
      <c r="D38" s="31"/>
      <c r="E38" s="31"/>
      <c r="F38" s="31"/>
      <c r="G38" s="31"/>
      <c r="H38" s="31"/>
      <c r="I38" s="31"/>
      <c r="J38" s="31"/>
      <c r="K38" s="31"/>
      <c r="L38" s="31"/>
      <c r="M38" s="31"/>
    </row>
    <row r="39" customFormat="false" ht="15" hidden="false" customHeight="false" outlineLevel="0" collapsed="false">
      <c r="A39" s="30"/>
      <c r="B39" s="31"/>
      <c r="C39" s="31"/>
      <c r="D39" s="31"/>
      <c r="E39" s="31"/>
      <c r="F39" s="31"/>
      <c r="G39" s="31"/>
      <c r="H39" s="31"/>
      <c r="I39" s="31"/>
      <c r="J39" s="31"/>
      <c r="K39" s="31"/>
      <c r="L39" s="31"/>
      <c r="M39" s="31"/>
    </row>
    <row r="40" customFormat="false" ht="15" hidden="false" customHeight="false" outlineLevel="0" collapsed="false">
      <c r="A40" s="30"/>
      <c r="B40" s="31"/>
      <c r="C40" s="31"/>
      <c r="D40" s="31"/>
      <c r="E40" s="31"/>
      <c r="F40" s="31"/>
      <c r="G40" s="31"/>
      <c r="H40" s="31"/>
      <c r="I40" s="31"/>
      <c r="J40" s="31"/>
      <c r="K40" s="31"/>
      <c r="L40" s="31"/>
      <c r="M40" s="31"/>
    </row>
    <row r="41" customFormat="false" ht="15" hidden="false" customHeight="false" outlineLevel="0" collapsed="false">
      <c r="A41" s="30"/>
      <c r="B41" s="31"/>
      <c r="C41" s="31"/>
      <c r="D41" s="31"/>
      <c r="E41" s="31"/>
      <c r="F41" s="31"/>
      <c r="G41" s="31"/>
      <c r="H41" s="31"/>
      <c r="I41" s="31"/>
      <c r="J41" s="31"/>
      <c r="K41" s="31"/>
      <c r="L41" s="31"/>
      <c r="M41" s="31"/>
    </row>
    <row r="42" customFormat="false" ht="15" hidden="false" customHeight="false" outlineLevel="0" collapsed="false">
      <c r="A42" s="30"/>
      <c r="B42" s="31"/>
      <c r="C42" s="31"/>
      <c r="D42" s="31"/>
      <c r="E42" s="31"/>
      <c r="F42" s="31"/>
      <c r="G42" s="31"/>
      <c r="H42" s="31"/>
      <c r="I42" s="31"/>
      <c r="J42" s="31"/>
      <c r="K42" s="31"/>
      <c r="L42" s="31"/>
      <c r="M42" s="31"/>
    </row>
    <row r="43" customFormat="false" ht="15" hidden="false" customHeight="false" outlineLevel="0" collapsed="false">
      <c r="A43" s="30"/>
      <c r="B43" s="31"/>
      <c r="C43" s="31"/>
      <c r="D43" s="31"/>
      <c r="E43" s="31"/>
      <c r="F43" s="31"/>
      <c r="G43" s="31"/>
      <c r="H43" s="31"/>
      <c r="I43" s="31"/>
      <c r="J43" s="31"/>
      <c r="K43" s="31"/>
      <c r="L43" s="31"/>
      <c r="M43" s="31"/>
    </row>
    <row r="44" customFormat="false" ht="15" hidden="false" customHeight="false" outlineLevel="0" collapsed="false">
      <c r="A44" s="30"/>
      <c r="B44" s="31"/>
      <c r="C44" s="31"/>
      <c r="D44" s="31"/>
      <c r="E44" s="31"/>
      <c r="F44" s="31"/>
      <c r="G44" s="31"/>
      <c r="H44" s="31"/>
      <c r="I44" s="31"/>
      <c r="J44" s="31"/>
      <c r="K44" s="31"/>
      <c r="L44" s="31"/>
      <c r="M44" s="31"/>
    </row>
    <row r="45" customFormat="false" ht="15" hidden="false" customHeight="false" outlineLevel="0" collapsed="false">
      <c r="A45" s="30"/>
      <c r="B45" s="31"/>
      <c r="C45" s="31"/>
      <c r="D45" s="31"/>
      <c r="E45" s="31"/>
      <c r="F45" s="31"/>
      <c r="G45" s="31"/>
      <c r="H45" s="31"/>
      <c r="I45" s="31"/>
      <c r="J45" s="31"/>
      <c r="K45" s="31"/>
      <c r="L45" s="31"/>
      <c r="M45" s="31"/>
    </row>
    <row r="46" customFormat="false" ht="15" hidden="false" customHeight="false" outlineLevel="0" collapsed="false">
      <c r="A46" s="30"/>
      <c r="B46" s="31"/>
      <c r="C46" s="31"/>
      <c r="D46" s="31"/>
      <c r="E46" s="31"/>
      <c r="F46" s="31"/>
      <c r="G46" s="31"/>
      <c r="H46" s="31"/>
      <c r="I46" s="31"/>
      <c r="J46" s="31"/>
      <c r="K46" s="31"/>
      <c r="L46" s="31"/>
      <c r="M46" s="31"/>
    </row>
    <row r="47" customFormat="false" ht="15" hidden="false" customHeight="false" outlineLevel="0" collapsed="false">
      <c r="A47" s="30"/>
      <c r="B47" s="31"/>
      <c r="C47" s="31"/>
      <c r="D47" s="31"/>
      <c r="E47" s="31"/>
      <c r="F47" s="31"/>
      <c r="G47" s="31"/>
      <c r="H47" s="31"/>
      <c r="I47" s="31"/>
      <c r="J47" s="31"/>
      <c r="K47" s="31"/>
      <c r="L47" s="31"/>
      <c r="M47" s="31"/>
    </row>
    <row r="48" customFormat="false" ht="15" hidden="false" customHeight="false" outlineLevel="0" collapsed="false">
      <c r="A48" s="30"/>
      <c r="B48" s="31"/>
      <c r="C48" s="31"/>
      <c r="D48" s="31"/>
      <c r="E48" s="31"/>
      <c r="F48" s="31"/>
      <c r="G48" s="31"/>
      <c r="H48" s="31"/>
      <c r="I48" s="31"/>
      <c r="J48" s="31"/>
      <c r="K48" s="31"/>
      <c r="L48" s="31"/>
      <c r="M48" s="31"/>
    </row>
    <row r="49" customFormat="false" ht="15" hidden="false" customHeight="false" outlineLevel="0" collapsed="false">
      <c r="A49" s="30"/>
      <c r="B49" s="31"/>
      <c r="C49" s="31"/>
      <c r="D49" s="31"/>
      <c r="E49" s="31"/>
      <c r="F49" s="31"/>
      <c r="G49" s="31"/>
      <c r="H49" s="31"/>
      <c r="I49" s="31"/>
      <c r="J49" s="31"/>
      <c r="K49" s="31"/>
      <c r="L49" s="31"/>
      <c r="M49" s="31"/>
    </row>
    <row r="50" customFormat="false" ht="15" hidden="false" customHeight="false" outlineLevel="0" collapsed="false">
      <c r="A50" s="30"/>
      <c r="B50" s="31"/>
      <c r="C50" s="31"/>
      <c r="D50" s="31"/>
      <c r="E50" s="31"/>
      <c r="F50" s="31"/>
      <c r="G50" s="31"/>
      <c r="H50" s="31"/>
      <c r="I50" s="31"/>
      <c r="J50" s="31"/>
      <c r="K50" s="31"/>
      <c r="L50" s="31"/>
      <c r="M50" s="31"/>
    </row>
    <row r="51" customFormat="false" ht="15" hidden="false" customHeight="false" outlineLevel="0" collapsed="false">
      <c r="A51" s="30"/>
      <c r="B51" s="31"/>
      <c r="C51" s="31"/>
      <c r="D51" s="31"/>
      <c r="E51" s="31"/>
      <c r="F51" s="31"/>
      <c r="G51" s="31"/>
      <c r="H51" s="31"/>
      <c r="I51" s="31"/>
      <c r="J51" s="31"/>
      <c r="K51" s="31"/>
      <c r="L51" s="31"/>
      <c r="M51" s="31"/>
    </row>
    <row r="52" customFormat="false" ht="15" hidden="false" customHeight="false" outlineLevel="0" collapsed="false">
      <c r="A52" s="30"/>
      <c r="B52" s="31"/>
      <c r="C52" s="31"/>
      <c r="D52" s="31"/>
      <c r="E52" s="31"/>
      <c r="F52" s="31"/>
      <c r="G52" s="31"/>
      <c r="H52" s="31"/>
      <c r="I52" s="31"/>
      <c r="J52" s="31"/>
      <c r="K52" s="31"/>
      <c r="L52" s="31"/>
      <c r="M52" s="31"/>
    </row>
    <row r="53" customFormat="false" ht="15" hidden="false" customHeight="false" outlineLevel="0" collapsed="false">
      <c r="A53" s="30"/>
      <c r="B53" s="31"/>
      <c r="C53" s="31"/>
      <c r="D53" s="31"/>
      <c r="E53" s="31"/>
      <c r="F53" s="31"/>
      <c r="G53" s="31"/>
      <c r="H53" s="31"/>
      <c r="I53" s="31"/>
      <c r="J53" s="31"/>
      <c r="K53" s="31"/>
      <c r="L53" s="31"/>
      <c r="M53" s="31"/>
    </row>
    <row r="54" customFormat="false" ht="15" hidden="false" customHeight="false" outlineLevel="0" collapsed="false">
      <c r="A54" s="30"/>
      <c r="B54" s="31"/>
      <c r="C54" s="31"/>
      <c r="D54" s="31"/>
      <c r="E54" s="31"/>
      <c r="F54" s="31"/>
      <c r="G54" s="31"/>
      <c r="H54" s="31"/>
      <c r="I54" s="31"/>
      <c r="J54" s="31"/>
      <c r="K54" s="31"/>
      <c r="L54" s="31"/>
      <c r="M54" s="31"/>
    </row>
    <row r="55" customFormat="false" ht="15" hidden="false" customHeight="false" outlineLevel="0" collapsed="false">
      <c r="A55" s="30"/>
      <c r="B55" s="31"/>
      <c r="C55" s="31"/>
      <c r="D55" s="31"/>
      <c r="E55" s="31"/>
      <c r="F55" s="31"/>
      <c r="G55" s="31"/>
      <c r="H55" s="31"/>
      <c r="I55" s="31"/>
      <c r="J55" s="31"/>
      <c r="K55" s="31"/>
      <c r="L55" s="31"/>
      <c r="M55" s="31"/>
    </row>
    <row r="56" customFormat="false" ht="15" hidden="false" customHeight="false" outlineLevel="0" collapsed="false">
      <c r="A56" s="30"/>
      <c r="B56" s="31"/>
      <c r="C56" s="31"/>
      <c r="D56" s="31"/>
      <c r="E56" s="31"/>
      <c r="F56" s="31"/>
      <c r="G56" s="31"/>
      <c r="H56" s="31"/>
      <c r="I56" s="31"/>
      <c r="J56" s="31"/>
      <c r="K56" s="31"/>
      <c r="L56" s="31"/>
      <c r="M56" s="31"/>
    </row>
    <row r="57" customFormat="false" ht="15" hidden="false" customHeight="false" outlineLevel="0" collapsed="false">
      <c r="A57" s="30"/>
      <c r="B57" s="31"/>
      <c r="C57" s="31"/>
      <c r="D57" s="31"/>
      <c r="E57" s="31"/>
      <c r="F57" s="31"/>
      <c r="G57" s="31"/>
      <c r="H57" s="31"/>
      <c r="I57" s="31"/>
      <c r="J57" s="31"/>
      <c r="K57" s="31"/>
      <c r="L57" s="31"/>
      <c r="M57" s="31"/>
    </row>
    <row r="58" customFormat="false" ht="15" hidden="false" customHeight="false" outlineLevel="0" collapsed="false">
      <c r="A58" s="30"/>
      <c r="B58" s="31"/>
      <c r="C58" s="31"/>
      <c r="D58" s="31"/>
      <c r="E58" s="31"/>
      <c r="F58" s="31"/>
      <c r="G58" s="31"/>
      <c r="H58" s="31"/>
      <c r="I58" s="31"/>
      <c r="J58" s="31"/>
      <c r="K58" s="31"/>
      <c r="L58" s="31"/>
      <c r="M58" s="31"/>
    </row>
    <row r="59" customFormat="false" ht="15" hidden="false" customHeight="false" outlineLevel="0" collapsed="false">
      <c r="A59" s="30"/>
      <c r="B59" s="31"/>
      <c r="C59" s="31"/>
      <c r="D59" s="31"/>
      <c r="E59" s="31"/>
      <c r="F59" s="31"/>
      <c r="G59" s="31"/>
      <c r="H59" s="31"/>
      <c r="I59" s="31"/>
      <c r="J59" s="31"/>
      <c r="K59" s="31"/>
      <c r="L59" s="31"/>
      <c r="M59" s="31"/>
    </row>
    <row r="60" customFormat="false" ht="15" hidden="false" customHeight="false" outlineLevel="0" collapsed="false">
      <c r="A60" s="30"/>
      <c r="B60" s="31"/>
      <c r="C60" s="31"/>
      <c r="D60" s="31"/>
      <c r="E60" s="31"/>
      <c r="F60" s="31"/>
      <c r="G60" s="31"/>
      <c r="H60" s="31"/>
      <c r="I60" s="31"/>
      <c r="J60" s="31"/>
      <c r="K60" s="31"/>
      <c r="L60" s="31"/>
      <c r="M60" s="31"/>
    </row>
    <row r="61" customFormat="false" ht="15" hidden="false" customHeight="false" outlineLevel="0" collapsed="false">
      <c r="A61" s="30"/>
      <c r="B61" s="31"/>
      <c r="C61" s="31"/>
      <c r="D61" s="31"/>
      <c r="E61" s="31"/>
      <c r="F61" s="31"/>
      <c r="G61" s="31"/>
      <c r="H61" s="31"/>
      <c r="I61" s="31"/>
      <c r="J61" s="31"/>
      <c r="K61" s="31"/>
      <c r="L61" s="31"/>
      <c r="M61" s="31"/>
    </row>
    <row r="62" customFormat="false" ht="15" hidden="false" customHeight="false" outlineLevel="0" collapsed="false">
      <c r="A62" s="30"/>
      <c r="B62" s="31"/>
      <c r="C62" s="31"/>
      <c r="D62" s="31"/>
      <c r="E62" s="31"/>
      <c r="F62" s="31"/>
      <c r="G62" s="31"/>
      <c r="H62" s="31"/>
      <c r="I62" s="31"/>
      <c r="J62" s="31"/>
      <c r="K62" s="31"/>
      <c r="L62" s="31"/>
      <c r="M62" s="31"/>
    </row>
    <row r="63" customFormat="false" ht="15" hidden="false" customHeight="false" outlineLevel="0" collapsed="false">
      <c r="A63" s="30"/>
      <c r="B63" s="31"/>
      <c r="C63" s="31"/>
      <c r="D63" s="31"/>
      <c r="E63" s="31"/>
      <c r="F63" s="31"/>
      <c r="G63" s="31"/>
      <c r="H63" s="31"/>
      <c r="I63" s="31"/>
      <c r="J63" s="31"/>
      <c r="K63" s="31"/>
      <c r="L63" s="31"/>
      <c r="M63" s="31"/>
    </row>
    <row r="64" customFormat="false" ht="15" hidden="false" customHeight="false" outlineLevel="0" collapsed="false">
      <c r="A64" s="30"/>
      <c r="B64" s="31"/>
      <c r="C64" s="31"/>
      <c r="D64" s="31"/>
      <c r="E64" s="31"/>
      <c r="F64" s="31"/>
      <c r="G64" s="31"/>
      <c r="H64" s="31"/>
      <c r="I64" s="31"/>
      <c r="J64" s="31"/>
      <c r="K64" s="31"/>
      <c r="L64" s="31"/>
      <c r="M64" s="31"/>
    </row>
    <row r="65" customFormat="false" ht="15" hidden="false" customHeight="false" outlineLevel="0" collapsed="false">
      <c r="A65" s="30"/>
      <c r="B65" s="31"/>
      <c r="C65" s="31"/>
      <c r="D65" s="31"/>
      <c r="E65" s="31"/>
      <c r="F65" s="31"/>
      <c r="G65" s="31"/>
      <c r="H65" s="31"/>
      <c r="I65" s="31"/>
      <c r="J65" s="31"/>
      <c r="K65" s="31"/>
      <c r="L65" s="31"/>
      <c r="M65" s="31"/>
    </row>
    <row r="66" customFormat="false" ht="15" hidden="false" customHeight="false" outlineLevel="0" collapsed="false">
      <c r="A66" s="30"/>
      <c r="B66" s="31"/>
      <c r="C66" s="31"/>
      <c r="D66" s="31"/>
      <c r="E66" s="31"/>
      <c r="F66" s="31"/>
      <c r="G66" s="31"/>
      <c r="H66" s="31"/>
      <c r="I66" s="31"/>
      <c r="J66" s="31"/>
      <c r="K66" s="31"/>
      <c r="L66" s="31"/>
      <c r="M66" s="31"/>
    </row>
    <row r="67" customFormat="false" ht="15" hidden="false" customHeight="false" outlineLevel="0" collapsed="false">
      <c r="A67" s="30"/>
      <c r="B67" s="31"/>
      <c r="C67" s="31"/>
      <c r="D67" s="31"/>
      <c r="E67" s="31"/>
      <c r="F67" s="31"/>
      <c r="G67" s="31"/>
      <c r="H67" s="31"/>
      <c r="I67" s="31"/>
      <c r="J67" s="31"/>
      <c r="K67" s="31"/>
      <c r="L67" s="31"/>
      <c r="M67" s="31"/>
    </row>
    <row r="68" customFormat="false" ht="15" hidden="false" customHeight="false" outlineLevel="0" collapsed="false">
      <c r="A68" s="30"/>
      <c r="B68" s="31"/>
      <c r="C68" s="31"/>
      <c r="D68" s="31"/>
      <c r="E68" s="31"/>
      <c r="F68" s="31"/>
      <c r="G68" s="31"/>
      <c r="H68" s="31"/>
      <c r="I68" s="31"/>
      <c r="J68" s="31"/>
      <c r="K68" s="31"/>
      <c r="L68" s="31"/>
      <c r="M68" s="31"/>
    </row>
    <row r="69" customFormat="false" ht="15" hidden="false" customHeight="false" outlineLevel="0" collapsed="false">
      <c r="A69" s="30"/>
      <c r="B69" s="31"/>
      <c r="C69" s="31"/>
      <c r="D69" s="31"/>
      <c r="E69" s="31"/>
      <c r="F69" s="31"/>
      <c r="G69" s="31"/>
      <c r="H69" s="31"/>
      <c r="I69" s="31"/>
      <c r="J69" s="31"/>
      <c r="K69" s="31"/>
      <c r="L69" s="31"/>
      <c r="M69" s="31"/>
    </row>
    <row r="70" customFormat="false" ht="15" hidden="false" customHeight="false" outlineLevel="0" collapsed="false">
      <c r="A70" s="30"/>
      <c r="B70" s="31"/>
      <c r="C70" s="31"/>
      <c r="D70" s="31"/>
      <c r="E70" s="31"/>
      <c r="F70" s="31"/>
      <c r="G70" s="31"/>
      <c r="H70" s="31"/>
      <c r="I70" s="31"/>
      <c r="J70" s="31"/>
      <c r="K70" s="31"/>
      <c r="L70" s="31"/>
      <c r="M70" s="31"/>
    </row>
    <row r="71" customFormat="false" ht="15" hidden="false" customHeight="false" outlineLevel="0" collapsed="false">
      <c r="A71" s="30"/>
      <c r="B71" s="31"/>
      <c r="C71" s="31"/>
      <c r="D71" s="31"/>
      <c r="E71" s="31"/>
      <c r="F71" s="31"/>
      <c r="G71" s="31"/>
      <c r="H71" s="31"/>
      <c r="I71" s="31"/>
      <c r="J71" s="31"/>
      <c r="K71" s="31"/>
      <c r="L71" s="31"/>
      <c r="M71" s="31"/>
    </row>
    <row r="72" customFormat="false" ht="15" hidden="false" customHeight="false" outlineLevel="0" collapsed="false">
      <c r="A72" s="30"/>
      <c r="B72" s="31"/>
      <c r="C72" s="31"/>
      <c r="D72" s="31"/>
      <c r="E72" s="31"/>
      <c r="F72" s="31"/>
      <c r="G72" s="31"/>
      <c r="H72" s="31"/>
      <c r="I72" s="31"/>
      <c r="J72" s="31"/>
      <c r="K72" s="31"/>
      <c r="L72" s="31"/>
      <c r="M72" s="31"/>
    </row>
    <row r="73" customFormat="false" ht="15" hidden="false" customHeight="false" outlineLevel="0" collapsed="false">
      <c r="A73" s="30"/>
      <c r="B73" s="31"/>
      <c r="C73" s="31"/>
      <c r="D73" s="31"/>
      <c r="E73" s="31"/>
      <c r="F73" s="31"/>
      <c r="G73" s="31"/>
      <c r="H73" s="31"/>
      <c r="I73" s="31"/>
      <c r="J73" s="31"/>
      <c r="K73" s="31"/>
      <c r="L73" s="31"/>
      <c r="M73" s="31"/>
    </row>
    <row r="74" customFormat="false" ht="15" hidden="false" customHeight="false" outlineLevel="0" collapsed="false">
      <c r="A74" s="30"/>
      <c r="B74" s="31"/>
      <c r="C74" s="31"/>
      <c r="D74" s="31"/>
      <c r="E74" s="31"/>
      <c r="F74" s="31"/>
      <c r="G74" s="31"/>
      <c r="H74" s="31"/>
      <c r="I74" s="31"/>
      <c r="J74" s="31"/>
      <c r="K74" s="31"/>
      <c r="L74" s="31"/>
      <c r="M74" s="31"/>
    </row>
    <row r="75" customFormat="false" ht="15" hidden="false" customHeight="false" outlineLevel="0" collapsed="false">
      <c r="A75" s="30"/>
      <c r="B75" s="31"/>
      <c r="C75" s="31"/>
      <c r="D75" s="31"/>
      <c r="E75" s="31"/>
      <c r="F75" s="31"/>
      <c r="G75" s="31"/>
      <c r="H75" s="31"/>
      <c r="I75" s="31"/>
      <c r="J75" s="31"/>
      <c r="K75" s="31"/>
      <c r="L75" s="31"/>
      <c r="M75" s="31"/>
    </row>
    <row r="76" customFormat="false" ht="15" hidden="false" customHeight="false" outlineLevel="0" collapsed="false">
      <c r="A76" s="30"/>
      <c r="B76" s="31"/>
      <c r="C76" s="31"/>
      <c r="D76" s="31"/>
      <c r="E76" s="31"/>
      <c r="F76" s="31"/>
      <c r="G76" s="31"/>
      <c r="H76" s="31"/>
      <c r="I76" s="31"/>
      <c r="J76" s="31"/>
      <c r="K76" s="31"/>
      <c r="L76" s="31"/>
      <c r="M76" s="31"/>
    </row>
    <row r="77" customFormat="false" ht="15" hidden="false" customHeight="false" outlineLevel="0" collapsed="false">
      <c r="A77" s="30"/>
      <c r="B77" s="31"/>
      <c r="C77" s="31"/>
      <c r="D77" s="31"/>
      <c r="E77" s="31"/>
      <c r="F77" s="31"/>
      <c r="G77" s="31"/>
      <c r="H77" s="31"/>
      <c r="I77" s="31"/>
      <c r="J77" s="31"/>
      <c r="K77" s="31"/>
      <c r="L77" s="31"/>
      <c r="M77" s="31"/>
    </row>
    <row r="78" customFormat="false" ht="15" hidden="false" customHeight="false" outlineLevel="0" collapsed="false">
      <c r="A78" s="30"/>
      <c r="B78" s="31"/>
      <c r="C78" s="31"/>
      <c r="D78" s="31"/>
      <c r="E78" s="31"/>
      <c r="F78" s="31"/>
      <c r="G78" s="31"/>
      <c r="H78" s="31"/>
      <c r="I78" s="31"/>
      <c r="J78" s="31"/>
      <c r="K78" s="31"/>
      <c r="L78" s="31"/>
      <c r="M78" s="31"/>
    </row>
    <row r="79" customFormat="false" ht="15" hidden="false" customHeight="false" outlineLevel="0" collapsed="false">
      <c r="A79" s="30"/>
      <c r="B79" s="31"/>
      <c r="C79" s="31"/>
      <c r="D79" s="31"/>
      <c r="E79" s="31"/>
      <c r="F79" s="31"/>
      <c r="G79" s="31"/>
      <c r="H79" s="31"/>
      <c r="I79" s="31"/>
      <c r="J79" s="31"/>
      <c r="K79" s="31"/>
      <c r="L79" s="31"/>
      <c r="M79" s="31"/>
    </row>
    <row r="80" customFormat="false" ht="15" hidden="false" customHeight="false" outlineLevel="0" collapsed="false">
      <c r="A80" s="30"/>
      <c r="B80" s="31"/>
      <c r="C80" s="31"/>
      <c r="D80" s="31"/>
      <c r="E80" s="31"/>
      <c r="F80" s="31"/>
      <c r="G80" s="31"/>
      <c r="H80" s="31"/>
      <c r="I80" s="31"/>
      <c r="J80" s="31"/>
      <c r="K80" s="31"/>
      <c r="L80" s="31"/>
      <c r="M80" s="31"/>
    </row>
    <row r="81" customFormat="false" ht="15" hidden="false" customHeight="false" outlineLevel="0" collapsed="false">
      <c r="A81" s="30"/>
      <c r="B81" s="31"/>
      <c r="C81" s="31"/>
      <c r="D81" s="31"/>
      <c r="E81" s="31"/>
      <c r="F81" s="31"/>
      <c r="G81" s="31"/>
      <c r="H81" s="31"/>
      <c r="I81" s="31"/>
      <c r="J81" s="31"/>
      <c r="K81" s="31"/>
      <c r="L81" s="31"/>
      <c r="M81" s="31"/>
    </row>
    <row r="82" customFormat="false" ht="15" hidden="false" customHeight="false" outlineLevel="0" collapsed="false">
      <c r="A82" s="30"/>
      <c r="B82" s="31"/>
      <c r="C82" s="31"/>
      <c r="D82" s="31"/>
      <c r="E82" s="31"/>
      <c r="F82" s="31"/>
      <c r="G82" s="31"/>
      <c r="H82" s="31"/>
      <c r="I82" s="31"/>
      <c r="J82" s="31"/>
      <c r="K82" s="31"/>
      <c r="L82" s="31"/>
      <c r="M82" s="31"/>
    </row>
    <row r="83" customFormat="false" ht="15" hidden="false" customHeight="false" outlineLevel="0" collapsed="false">
      <c r="A83" s="30"/>
      <c r="B83" s="31"/>
      <c r="C83" s="31"/>
      <c r="D83" s="31"/>
      <c r="E83" s="31"/>
      <c r="F83" s="31"/>
      <c r="G83" s="31"/>
      <c r="H83" s="31"/>
      <c r="I83" s="31"/>
      <c r="J83" s="31"/>
      <c r="K83" s="31"/>
      <c r="L83" s="31"/>
      <c r="M83" s="31"/>
    </row>
    <row r="84" customFormat="false" ht="15" hidden="false" customHeight="false" outlineLevel="0" collapsed="false">
      <c r="A84" s="30"/>
      <c r="B84" s="31"/>
      <c r="C84" s="31"/>
      <c r="D84" s="31"/>
      <c r="E84" s="31"/>
      <c r="F84" s="31"/>
      <c r="G84" s="31"/>
      <c r="H84" s="31"/>
      <c r="I84" s="31"/>
      <c r="J84" s="31"/>
      <c r="K84" s="31"/>
      <c r="L84" s="31"/>
      <c r="M84" s="31"/>
    </row>
    <row r="85" customFormat="false" ht="15" hidden="false" customHeight="false" outlineLevel="0" collapsed="false">
      <c r="A85" s="30"/>
      <c r="B85" s="31"/>
      <c r="C85" s="31"/>
      <c r="D85" s="31"/>
      <c r="E85" s="31"/>
      <c r="F85" s="31"/>
      <c r="G85" s="31"/>
      <c r="H85" s="31"/>
      <c r="I85" s="31"/>
      <c r="J85" s="31"/>
      <c r="K85" s="31"/>
      <c r="L85" s="31"/>
      <c r="M85" s="31"/>
    </row>
  </sheetData>
  <dataValidations count="2">
    <dataValidation allowBlank="true" operator="between" showDropDown="false" showErrorMessage="false" showInputMessage="false" sqref="G6:G85" type="list">
      <formula1>"cabling,initial char,coarse char,final char,dark IV,cryo / LN2,troubleshooting,other"</formula1>
      <formula2>0</formula2>
    </dataValidation>
    <dataValidation allowBlank="true" operator="between" showDropDown="false" showErrorMessage="false" showInputMessage="false" sqref="M6:M85" type="list">
      <formula1>"Y,N"</formula1>
      <formula2>0</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2026-10-02T21:18:30Z</dcterms:created>
  <dc:creator>openpyxl</dc:creator>
  <dc:description/>
  <dc:language>en-US</dc:language>
  <cp:lastModifiedBy/>
  <dcterms:modified xsi:type="dcterms:W3CDTF">2026-10-02T21:18:30Z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